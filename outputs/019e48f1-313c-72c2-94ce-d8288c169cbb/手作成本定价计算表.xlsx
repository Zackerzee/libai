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d0b732212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定价计算器" sheetId="1" r:id="R2a673f70120d4555"/>
    <x:sheet xmlns:r="http://schemas.openxmlformats.org/officeDocument/2006/relationships" name="批量定价" sheetId="2" r:id="R2293d73380c54199"/>
    <x:sheet xmlns:r="http://schemas.openxmlformats.org/officeDocument/2006/relationships" name="参数假设" sheetId="3" r:id="Rf7a065ade0ea410d"/>
    <x:sheet xmlns:r="http://schemas.openxmlformats.org/officeDocument/2006/relationships" name="成本说明" sheetId="4" r:id="Rb0d783af7f6d448e"/>
    <x:sheet xmlns:r="http://schemas.openxmlformats.org/officeDocument/2006/relationships" name="后台字段" sheetId="5" r:id="R0f56dedcf0b1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-#,##0.00;&quot;-&quot;"/>
    <x:numFmt numFmtId="201" formatCode="0.0%"/>
    <x:numFmt numFmtId="202" formatCode="0.0x"/>
  </x:numFmts>
  <x:fonts count="7">
    <x:font>
      <x:sz val="11"/>
      <x:name val="Carlito"/>
    </x:font>
    <x:font>
      <x:b/>
      <x:sz val="18"/>
      <x:color rgb="FFFFFF"/>
      <x:name val="Arial"/>
    </x:font>
    <x:font>
      <x:sz val="10"/>
      <x:color rgb="1F2933"/>
      <x:name val="Arial"/>
    </x:font>
    <x:font>
      <x:b/>
      <x:sz val="10"/>
      <x:color rgb="FFFFFF"/>
      <x:name val="Arial"/>
    </x:font>
    <x:font>
      <x:b/>
      <x:sz val="12"/>
      <x:color rgb="1F2933"/>
      <x:name val="Arial"/>
    </x:font>
    <x:font>
      <x:b/>
      <x:sz val="12"/>
      <x:color rgb="FFFFFF"/>
      <x:name val="Arial"/>
    </x:font>
    <x:font>
      <x:b/>
      <x:sz val="18"/>
      <x:color rgb="1F2933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2F5D62"/>
      </x:patternFill>
    </x:fill>
    <x:fill>
      <x:patternFill patternType="solid">
        <x:fgColor rgb="DDEBE9"/>
      </x:patternFill>
    </x:fill>
    <x:fill>
      <x:patternFill patternType="solid">
        <x:fgColor rgb="E6F4F1"/>
      </x:patternFill>
    </x:fill>
    <x:fill>
      <x:patternFill patternType="solid">
        <x:fgColor rgb="F8E4EA"/>
      </x:patternFill>
    </x:fill>
    <x:fill>
      <x:patternFill patternType="solid">
        <x:fgColor rgb="FFF2CC"/>
      </x:patternFill>
    </x:fill>
    <x:fill>
      <x:patternFill patternType="solid">
        <x:fgColor rgb="F5F7F8"/>
      </x:patternFill>
    </x:fill>
    <x:fill>
      <x:patternFill patternType="solid">
        <x:fgColor rgb="FFFFFF"/>
      </x:patternFill>
    </x:fill>
    <x:fill>
      <x:patternFill patternType="solid">
        <x:fgColor rgb="E2F0D9"/>
      </x:patternFill>
    </x:fill>
  </x:fills>
  <x:borders count="9">
    <x:border/>
    <x:border>
      <x:left style="thin">
        <x:color rgb="2F5D62"/>
      </x:left>
      <x:top style="thin">
        <x:color rgb="2F5D62"/>
      </x:top>
      <x:bottom style="thin">
        <x:color rgb="2F5D62"/>
      </x:bottom>
    </x:border>
    <x:border>
      <x:top style="thin">
        <x:color rgb="2F5D62"/>
      </x:top>
      <x:bottom style="thin">
        <x:color rgb="2F5D62"/>
      </x:bottom>
    </x:border>
    <x:border>
      <x:right style="thin">
        <x:color rgb="2F5D62"/>
      </x:right>
      <x:top style="thin">
        <x:color rgb="2F5D62"/>
      </x:top>
      <x:bottom style="thin">
        <x:color rgb="2F5D62"/>
      </x:bottom>
    </x:border>
    <x:border>
      <x:left style="thin">
        <x:color rgb="D7DEE2"/>
      </x:left>
      <x:top style="thin">
        <x:color rgb="D7DEE2"/>
      </x:top>
      <x:bottom style="thin">
        <x:color rgb="D7DEE2"/>
      </x:bottom>
    </x:border>
    <x:border>
      <x:top style="thin">
        <x:color rgb="D7DEE2"/>
      </x:top>
      <x:bottom style="thin">
        <x:color rgb="D7DEE2"/>
      </x:bottom>
    </x:border>
    <x:border>
      <x:right style="thin">
        <x:color rgb="D7DEE2"/>
      </x:right>
      <x:top style="thin">
        <x:color rgb="D7DEE2"/>
      </x:top>
      <x:bottom style="thin">
        <x:color rgb="D7DEE2"/>
      </x:bottom>
    </x:border>
    <x:border>
      <x:left style="thin">
        <x:color rgb="D7DEE2"/>
      </x:left>
      <x:right style="thin">
        <x:color rgb="D7DEE2"/>
      </x:right>
      <x:top style="thin">
        <x:color rgb="D7DEE2"/>
      </x:top>
      <x:bottom style="thin">
        <x:color rgb="D7DEE2"/>
      </x:bottom>
    </x:border>
    <x:border>
      <x:left style="thin">
        <x:color rgb="FFFFFF"/>
      </x:left>
      <x:right style="thin">
        <x:color rgb="FFFFFF"/>
      </x:right>
      <x:top style="thin">
        <x:color rgb="FFFFFF"/>
      </x:top>
      <x:bottom style="thin">
        <x:color rgb="FFFFFF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horizontal="right" vertical="center" wrapText="1"/>
    </x:xf>
    <x:xf numFmtId="201" fontId="2" fillId="0" borderId="7" xfId="0" applyNumberFormat="1" applyFont="1" applyFill="1" applyBorder="1" applyAlignment="1">
      <x:alignment vertical="center" wrapText="1"/>
    </x:xf>
    <x:xf numFmtId="201" fontId="2" fillId="0" borderId="7" xfId="0" applyNumberFormat="1" applyFont="1" applyFill="1" applyBorder="1" applyAlignment="1">
      <x:alignment horizontal="right" vertical="center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7" borderId="7" xfId="0" applyNumberFormat="1" applyFont="1" applyFill="1" applyBorder="1" applyAlignment="1">
      <x:alignment vertical="center" wrapText="1"/>
    </x:xf>
    <x:xf numFmtId="0" fontId="2" fillId="8" borderId="7" xfId="0" applyNumberFormat="1" applyFont="1" applyFill="1" applyBorder="1" applyAlignment="1">
      <x:alignment vertical="center" wrapText="1"/>
    </x:xf>
    <x:xf numFmtId="0" fontId="2" fillId="9" borderId="7" xfId="0" applyNumberFormat="1" applyFont="1" applyFill="1" applyBorder="1" applyAlignment="1">
      <x:alignment vertical="center" wrapText="1"/>
    </x:xf>
    <x:xf numFmtId="0" fontId="6" fillId="9" borderId="7" xfId="0" applyNumberFormat="1" applyFont="1" applyFill="1" applyBorder="1" applyAlignment="1">
      <x:alignment vertical="center" wrapText="1"/>
    </x:xf>
    <x:xf numFmtId="200" fontId="6" fillId="9" borderId="7" xfId="0" applyNumberFormat="1" applyFont="1" applyFill="1" applyBorder="1" applyAlignment="1">
      <x:alignment vertical="center" wrapText="1"/>
    </x:xf>
    <x:xf numFmtId="200" fontId="6" fillId="9" borderId="7" xfId="0" applyNumberFormat="1" applyFont="1" applyFill="1" applyBorder="1" applyAlignment="1">
      <x:alignment horizontal="right" vertical="center" wrapText="1"/>
    </x:xf>
    <x:xf numFmtId="200" fontId="2" fillId="6" borderId="7" xfId="0" applyNumberFormat="1" applyFont="1" applyFill="1" applyBorder="1" applyAlignment="1">
      <x:alignment vertical="center" wrapText="1"/>
    </x:xf>
    <x:xf numFmtId="200" fontId="2" fillId="6" borderId="7" xfId="0" applyNumberFormat="1" applyFont="1" applyFill="1" applyBorder="1" applyAlignment="1">
      <x:alignment horizontal="right" vertical="center" wrapText="1"/>
    </x:xf>
    <x:xf numFmtId="201" fontId="2" fillId="6" borderId="7" xfId="0" applyNumberFormat="1" applyFont="1" applyFill="1" applyBorder="1" applyAlignment="1">
      <x:alignment vertical="center" wrapText="1"/>
    </x:xf>
    <x:xf numFmtId="201" fontId="2" fillId="6" borderId="7" xfId="0" applyNumberFormat="1" applyFont="1" applyFill="1" applyBorder="1" applyAlignment="1">
      <x:alignment horizontal="right" vertical="center" wrapText="1"/>
    </x:xf>
    <x:xf numFmtId="200" fontId="2" fillId="4" borderId="7" xfId="0" applyNumberFormat="1" applyFont="1" applyFill="1" applyBorder="1" applyAlignment="1">
      <x:alignment vertical="center" wrapText="1"/>
    </x:xf>
    <x:xf numFmtId="200" fontId="2" fillId="4" borderId="7" xfId="0" applyNumberFormat="1" applyFont="1" applyFill="1" applyBorder="1" applyAlignment="1">
      <x:alignment horizontal="right" vertical="center" wrapText="1"/>
    </x:xf>
    <x:xf numFmtId="201" fontId="2" fillId="4" borderId="7" xfId="0" applyNumberFormat="1" applyFont="1" applyFill="1" applyBorder="1" applyAlignment="1">
      <x:alignment vertical="center" wrapText="1"/>
    </x:xf>
    <x:xf numFmtId="201" fontId="2" fillId="4" borderId="7" xfId="0" applyNumberFormat="1" applyFont="1" applyFill="1" applyBorder="1" applyAlignment="1">
      <x:alignment horizontal="right" vertical="center" wrapText="1"/>
    </x:xf>
    <x:xf numFmtId="202" fontId="2" fillId="4" borderId="7" xfId="0" applyNumberFormat="1" applyFont="1" applyFill="1" applyBorder="1" applyAlignment="1">
      <x:alignment vertical="center" wrapText="1"/>
    </x:xf>
    <x:xf numFmtId="200" fontId="2" fillId="7" borderId="7" xfId="0" applyNumberFormat="1" applyFont="1" applyFill="1" applyBorder="1" applyAlignment="1">
      <x:alignment vertical="center" wrapText="1"/>
    </x:xf>
    <x:xf numFmtId="200" fontId="2" fillId="7" borderId="7" xfId="0" applyNumberFormat="1" applyFont="1" applyFill="1" applyBorder="1" applyAlignment="1">
      <x:alignment horizontal="right" vertical="center" wrapText="1"/>
    </x:xf>
    <x:xf numFmtId="201" fontId="2" fillId="7" borderId="7" xfId="0" applyNumberFormat="1" applyFont="1" applyFill="1" applyBorder="1" applyAlignment="1">
      <x:alignment vertical="center" wrapText="1"/>
    </x:xf>
    <x:xf numFmtId="201" fontId="2" fillId="7" borderId="7" xfId="0" applyNumberFormat="1" applyFont="1" applyFill="1" applyBorder="1" applyAlignment="1">
      <x:alignment horizontal="right" vertical="center" wrapText="1"/>
    </x:xf>
    <x:xf numFmtId="200" fontId="2" fillId="8" borderId="7" xfId="0" applyNumberFormat="1" applyFont="1" applyFill="1" applyBorder="1" applyAlignment="1">
      <x:alignment vertical="center" wrapText="1"/>
    </x:xf>
    <x:xf numFmtId="200" fontId="2" fillId="8" borderId="7" xfId="0" applyNumberFormat="1" applyFont="1" applyFill="1" applyBorder="1" applyAlignment="1">
      <x:alignment horizontal="right" vertical="center" wrapText="1"/>
    </x:xf>
    <x:xf numFmtId="0" fontId="2" fillId="0" borderId="7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40e34864c499a" /><Relationship Type="http://schemas.openxmlformats.org/officeDocument/2006/relationships/theme" Target="/xl/theme/theme1.xml" Id="Rd5a84b8ac8d2440e" /><Relationship Type="http://schemas.openxmlformats.org/officeDocument/2006/relationships/sharedStrings" Target="/xl/sharedStrings.xml" Id="Rfb0fd5571cfa4eb3" /><Relationship Type="http://schemas.openxmlformats.org/officeDocument/2006/relationships/worksheet" Target="/xl/worksheets/sheet1.xml" Id="R2a673f70120d4555" /><Relationship Type="http://schemas.openxmlformats.org/officeDocument/2006/relationships/worksheet" Target="/xl/worksheets/sheet2.xml" Id="R2293d73380c54199" /><Relationship Type="http://schemas.openxmlformats.org/officeDocument/2006/relationships/worksheet" Target="/xl/worksheets/sheet3.xml" Id="Rf7a065ade0ea410d" /><Relationship Type="http://schemas.openxmlformats.org/officeDocument/2006/relationships/worksheet" Target="/xl/worksheets/sheet4.xml" Id="Rb0d783af7f6d448e" /><Relationship Type="http://schemas.openxmlformats.org/officeDocument/2006/relationships/worksheet" Target="/xl/worksheets/sheet5.xml" Id="R0f56dedcf0b141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6677874c734c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建议售价构成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金额</c:v>
          </c:tx>
          <c:cat>
            <c:strRef>
              <c:f>'定价计算器'!$F$6:$F$13</c:f>
              <c:strCache>
                <c:ptCount val="0"/>
              </c:strCache>
            </c:strRef>
          </c:cat>
          <c:val>
            <c:numRef>
              <c:f>'定价计算器'!$G$6:$G$13</c:f>
              <c:numCache>
                <c:formatCode>#,##0.00;[Red]-#,##0.00;"-"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6677874c734c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Handmade Pricing">
  <a:themeElements>
    <a:clrScheme name="Handmade Pricing">
      <a:dk1>
        <a:srgbClr val="1F2933"/>
      </a:dk1>
      <a:lt1>
        <a:srgbClr val="FFFFFF"/>
      </a:lt1>
      <a:dk2>
        <a:srgbClr val="0E2841"/>
      </a:dk2>
      <a:lt2>
        <a:srgbClr val="F5F7F8"/>
      </a:lt2>
      <a:accent1>
        <a:srgbClr val="2F5D62"/>
      </a:accent1>
      <a:accent2>
        <a:srgbClr val="C86B85"/>
      </a:accent2>
      <a:accent3>
        <a:srgbClr val="F2B84B"/>
      </a:accent3>
      <a:accent4>
        <a:srgbClr val="7A9E7E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andmade Pricing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b03eaeeb374950" /></Relationships>
</file>

<file path=xl/worksheets/sheet1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14.109999656677246" hidden="0" customWidth="1"/>
    <x:col min="3" max="3" width="25.149999618530273" hidden="0" customWidth="1"/>
    <x:col min="4" max="4" width="20.860000610351562" hidden="0" customWidth="1"/>
    <x:col min="5" max="5" width="15.34000015258789" hidden="0" customWidth="1"/>
    <x:col min="6" max="6" width="11.65999984741211" hidden="0" customWidth="1"/>
    <x:col min="7" max="7" width="11.039999961853027" hidden="0" customWidth="1"/>
    <x:col min="8" max="8" width="11.039999961853027" hidden="0" customWidth="1"/>
    <x:col min="10" max="10" width="12.640000343322754" hidden="0" customWidth="1"/>
    <x:col min="11" max="11" width="12.640000343322754" hidden="0" customWidth="1"/>
    <x:col min="12" max="12" width="12.640000343322754" hidden="0" customWidth="1"/>
    <x:col min="13" max="13" width="12.640000343322754" hidden="0" customWidth="1"/>
    <x:col min="14" max="14" width="12.640000343322754" hidden="0" customWidth="1"/>
    <x:col min="15" max="15" width="12.640000343322754" hidden="0" customWidth="1"/>
    <x:col min="16" max="16" width="12.640000343322754" hidden="0" customWidth="1"/>
    <x:col min="17" max="17" width="12.640000343322754" hidden="0" customWidth="1"/>
  </x:cols>
  <x:sheetData>
    <x:row r="1" ht="30" customHeight="1">
      <x:c r="A1" s="9" t="str">
        <x:v>手作成本定价计算器</x:v>
      </x:c>
      <x:c r="B1" s="10" t="str">
        <x:v>手作成本定价计算器</x:v>
      </x:c>
      <x:c r="C1" s="10" t="str">
        <x:v>手作成本定价计算器</x:v>
      </x:c>
      <x:c r="D1" s="10" t="str">
        <x:v>手作成本定价计算器</x:v>
      </x:c>
      <x:c r="E1" s="10" t="str">
        <x:v>手作成本定价计算器</x:v>
      </x:c>
      <x:c r="F1" s="10" t="str">
        <x:v>手作成本定价计算器</x:v>
      </x:c>
      <x:c r="G1" s="10" t="str">
        <x:v>手作成本定价计算器</x:v>
      </x:c>
      <x:c r="H1" s="10" t="str">
        <x:v>手作成本定价计算器</x:v>
      </x:c>
      <x:c r="I1" s="10" t="str">
        <x:v>手作成本定价计算器</x:v>
      </x:c>
      <x:c r="J1" s="10" t="str">
        <x:v>手作成本定价计算器</x:v>
      </x:c>
      <x:c r="K1" s="10" t="str">
        <x:v>手作成本定价计算器</x:v>
      </x:c>
      <x:c r="L1" s="10" t="str">
        <x:v>手作成本定价计算器</x:v>
      </x:c>
      <x:c r="M1" s="10" t="str">
        <x:v>手作成本定价计算器</x:v>
      </x:c>
      <x:c r="N1" s="10" t="str">
        <x:v>手作成本定价计算器</x:v>
      </x:c>
      <x:c r="O1" s="10" t="str">
        <x:v>手作成本定价计算器</x:v>
      </x:c>
      <x:c r="P1" s="10" t="str">
        <x:v>手作成本定价计算器</x:v>
      </x:c>
      <x:c r="Q1" s="11" t="str">
        <x:v>手作成本定价计算器</x:v>
      </x:c>
    </x:row>
    <x:row r="2" ht="24" customHeight="1">
      <x:c r="A2" s="23" t="str">
        <x:v>黄色格可修改；建议售价会把平台扣点、目标利润率和时间成本一起纳入计算。</x:v>
      </x:c>
      <x:c r="B2" s="24" t="str">
        <x:v>黄色格可修改；建议售价会把平台扣点、目标利润率和时间成本一起纳入计算。</x:v>
      </x:c>
      <x:c r="C2" s="24" t="str">
        <x:v>黄色格可修改；建议售价会把平台扣点、目标利润率和时间成本一起纳入计算。</x:v>
      </x:c>
      <x:c r="D2" s="24" t="str">
        <x:v>黄色格可修改；建议售价会把平台扣点、目标利润率和时间成本一起纳入计算。</x:v>
      </x:c>
      <x:c r="E2" s="24" t="str">
        <x:v>黄色格可修改；建议售价会把平台扣点、目标利润率和时间成本一起纳入计算。</x:v>
      </x:c>
      <x:c r="F2" s="24" t="str">
        <x:v>黄色格可修改；建议售价会把平台扣点、目标利润率和时间成本一起纳入计算。</x:v>
      </x:c>
      <x:c r="G2" s="24" t="str">
        <x:v>黄色格可修改；建议售价会把平台扣点、目标利润率和时间成本一起纳入计算。</x:v>
      </x:c>
      <x:c r="H2" s="24" t="str">
        <x:v>黄色格可修改；建议售价会把平台扣点、目标利润率和时间成本一起纳入计算。</x:v>
      </x:c>
      <x:c r="I2" s="24" t="str">
        <x:v>黄色格可修改；建议售价会把平台扣点、目标利润率和时间成本一起纳入计算。</x:v>
      </x:c>
      <x:c r="J2" s="24" t="str">
        <x:v>黄色格可修改；建议售价会把平台扣点、目标利润率和时间成本一起纳入计算。</x:v>
      </x:c>
      <x:c r="K2" s="24" t="str">
        <x:v>黄色格可修改；建议售价会把平台扣点、目标利润率和时间成本一起纳入计算。</x:v>
      </x:c>
      <x:c r="L2" s="24" t="str">
        <x:v>黄色格可修改；建议售价会把平台扣点、目标利润率和时间成本一起纳入计算。</x:v>
      </x:c>
      <x:c r="M2" s="24" t="str">
        <x:v>黄色格可修改；建议售价会把平台扣点、目标利润率和时间成本一起纳入计算。</x:v>
      </x:c>
      <x:c r="N2" s="24" t="str">
        <x:v>黄色格可修改；建议售价会把平台扣点、目标利润率和时间成本一起纳入计算。</x:v>
      </x:c>
      <x:c r="O2" s="24" t="str">
        <x:v>黄色格可修改；建议售价会把平台扣点、目标利润率和时间成本一起纳入计算。</x:v>
      </x:c>
      <x:c r="P2" s="24" t="str">
        <x:v>黄色格可修改；建议售价会把平台扣点、目标利润率和时间成本一起纳入计算。</x:v>
      </x:c>
      <x:c r="Q2" s="25" t="str">
        <x:v>黄色格可修改；建议售价会把平台扣点、目标利润率和时间成本一起纳入计算。</x:v>
      </x:c>
    </x:row>
    <x:row r="4" ht="19.5" customHeight="1">
      <x:c r="A4" s="46" t="str">
        <x:v>基础输入</x:v>
      </x:c>
      <x:c r="B4" s="47" t="str">
        <x:v>基础输入</x:v>
      </x:c>
      <x:c r="C4" s="48" t="str">
        <x:v>基础输入</x:v>
      </x:c>
      <x:c r="D4" s="55" t="str">
        <x:v>定价结果</x:v>
      </x:c>
      <x:c r="E4" s="56" t="str">
        <x:v>定价结果</x:v>
      </x:c>
      <x:c r="F4" s="65" t="str">
        <x:v>建议售价构成</x:v>
      </x:c>
      <x:c r="G4" s="66" t="str">
        <x:v>建议售价构成</x:v>
      </x:c>
      <x:c r="H4" s="67" t="str">
        <x:v>建议售价构成</x:v>
      </x:c>
      <x:c r="J4" s="75" t="str">
        <x:v>快速判断</x:v>
      </x:c>
      <x:c r="K4" s="76" t="str"/>
      <x:c r="L4" s="76" t="str"/>
      <x:c r="M4" s="76" t="str"/>
      <x:c r="N4" s="76" t="str"/>
      <x:c r="O4" s="76" t="str"/>
      <x:c r="P4" s="76" t="str"/>
      <x:c r="Q4" s="77" t="str"/>
    </x:row>
    <x:row r="5" ht="21" customHeight="1">
      <x:c r="A5" s="30" t="str">
        <x:v>商品名称</x:v>
      </x:c>
      <x:c r="B5" s="78" t="str">
        <x:v>示例手链</x:v>
      </x:c>
      <x:c r="C5" s="29" t="str">
        <x:v>可改成具体款式</x:v>
      </x:c>
      <x:c r="D5" s="29" t="str">
        <x:v>固定成本（不含平台扣点）</x:v>
      </x:c>
      <x:c r="E5" s="91" t="n">
        <x:f>SUM(B6,B9:B11,B12*B15,B19)</x:f>
        <x:v>78</x:v>
      </x:c>
      <x:c r="F5" s="34" t="str">
        <x:v>成本项</x:v>
      </x:c>
      <x:c r="G5" s="34" t="str">
        <x:v>金额</x:v>
      </x:c>
      <x:c r="H5" s="34" t="str">
        <x:v>占售价</x:v>
      </x:c>
      <x:c r="J5" s="80" t="str">
        <x:v>建议售价</x:v>
      </x:c>
      <x:c r="K5" s="85" t="n">
        <x:f>E11</x:f>
        <x:v>128</x:v>
      </x:c>
      <x:c r="L5" s="80" t="str">
        <x:v>固定成本</x:v>
      </x:c>
      <x:c r="M5" s="96" t="n">
        <x:f>E5</x:f>
        <x:v>78</x:v>
      </x:c>
      <x:c r="N5" s="80" t="str">
        <x:v>实际净利润率</x:v>
      </x:c>
      <x:c r="O5" s="98" t="n">
        <x:f>E13</x:f>
        <x:v>0.340625</x:v>
      </x:c>
      <x:c r="P5" s="98" t="str">
        <x:v>平台扣点</x:v>
      </x:c>
      <x:c r="Q5" s="98" t="n">
        <x:f>B16</x:f>
        <x:v>0.05</x:v>
      </x:c>
    </x:row>
    <x:row r="6" ht="21" customHeight="1">
      <x:c r="A6" s="30" t="str">
        <x:v>主材成本（珠子/线材）</x:v>
      </x:c>
      <x:c r="B6" s="87" t="n">
        <x:v>40</x:v>
      </x:c>
      <x:c r="C6" s="29" t="str">
        <x:v>珠子、线材、配件等</x:v>
      </x:c>
      <x:c r="D6" s="29" t="str">
        <x:v>时间成本</x:v>
      </x:c>
      <x:c r="E6" s="91" t="n">
        <x:f>B12*B15</x:f>
        <x:v>30</x:v>
      </x:c>
      <x:c r="F6" s="29" t="str">
        <x:v>主材</x:v>
      </x:c>
      <x:c r="G6" s="36" t="n">
        <x:f>B6</x:f>
        <x:v>40</x:v>
      </x:c>
      <x:c r="H6" s="38" t="n">
        <x:f>IFERROR(G6/$E$11,0)</x:f>
        <x:v>0.3125</x:v>
      </x:c>
      <x:c r="J6" s="80" t="str"/>
      <x:c r="K6" s="80"/>
      <x:c r="L6" s="80" t="str"/>
      <x:c r="M6" s="80"/>
      <x:c r="N6" s="80" t="str"/>
      <x:c r="O6" s="80"/>
      <x:c r="P6" s="80" t="str"/>
      <x:c r="Q6" s="80"/>
    </x:row>
    <x:row r="7" ht="21" customHeight="1">
      <x:c r="A7" s="30" t="str">
        <x:v>工具购置总额</x:v>
      </x:c>
      <x:c r="B7" s="87" t="n">
        <x:v>100</x:v>
      </x:c>
      <x:c r="C7" s="29" t="str">
        <x:v>钳子、胶水等一次性工具</x:v>
      </x:c>
      <x:c r="D7" s="29" t="str">
        <x:v>平台扣点金额</x:v>
      </x:c>
      <x:c r="E7" s="91" t="n">
        <x:f>E11*B16</x:f>
        <x:v>6.4</x:v>
      </x:c>
      <x:c r="F7" s="29" t="str">
        <x:v>工具摊销</x:v>
      </x:c>
      <x:c r="G7" s="36" t="n">
        <x:f>B9</x:f>
        <x:v>1</x:v>
      </x:c>
      <x:c r="H7" s="38" t="n">
        <x:f>IFERROR(G7/$E$11,0)</x:f>
        <x:v>0.0078125</x:v>
      </x:c>
      <x:c r="J7" s="80" t="str">
        <x:v>保本售价</x:v>
      </x:c>
      <x:c r="K7" s="96" t="n">
        <x:f>E9</x:f>
        <x:v>82.10526315789474</x:v>
      </x:c>
      <x:c r="L7" s="96" t="str">
        <x:v>净利润</x:v>
      </x:c>
      <x:c r="M7" s="96" t="n">
        <x:f>E12</x:f>
        <x:v>43.6</x:v>
      </x:c>
      <x:c r="N7" s="80" t="str">
        <x:v>主材占比</x:v>
      </x:c>
      <x:c r="O7" s="98" t="n">
        <x:f>E14</x:f>
        <x:v>0.5128205128205128</x:v>
      </x:c>
      <x:c r="P7" s="80" t="str">
        <x:v>目标时薪</x:v>
      </x:c>
      <x:c r="Q7" s="96" t="n">
        <x:f>B15</x:f>
        <x:v>30</x:v>
      </x:c>
    </x:row>
    <x:row r="8" ht="21" customHeight="1">
      <x:c r="A8" s="30" t="str">
        <x:v>预计摊销件数</x:v>
      </x:c>
      <x:c r="B8" s="87" t="n">
        <x:v>100</x:v>
      </x:c>
      <x:c r="C8" s="29" t="str">
        <x:v>预计可服务多少件作品</x:v>
      </x:c>
      <x:c r="D8" s="29" t="str">
        <x:v>目标利润额</x:v>
      </x:c>
      <x:c r="E8" s="91" t="n">
        <x:f>IF(B18&gt;0,B18,E11*B17)</x:f>
        <x:v>43.52</x:v>
      </x:c>
      <x:c r="F8" s="29" t="str">
        <x:v>快递</x:v>
      </x:c>
      <x:c r="G8" s="36" t="n">
        <x:f>B10</x:f>
        <x:v>5.5</x:v>
      </x:c>
      <x:c r="H8" s="38" t="n">
        <x:f>IFERROR(G8/$E$11,0)</x:f>
        <x:v>0.04296875</x:v>
      </x:c>
      <x:c r="J8" s="80" t="str"/>
      <x:c r="K8" s="80"/>
      <x:c r="L8" s="80" t="str"/>
      <x:c r="M8" s="80"/>
      <x:c r="N8" s="80" t="str"/>
      <x:c r="O8" s="80"/>
      <x:c r="P8" s="80" t="str"/>
      <x:c r="Q8" s="80"/>
    </x:row>
    <x:row r="9" ht="31.5" customHeight="1">
      <x:c r="A9" s="30" t="str">
        <x:v>单件工具成本</x:v>
      </x:c>
      <x:c r="B9" s="36" t="n">
        <x:f>IFERROR(B7/B8,0)</x:f>
        <x:v>1</x:v>
      </x:c>
      <x:c r="C9" s="29" t="str">
        <x:v>工具购置总额 ÷ 摊销件数</x:v>
      </x:c>
      <x:c r="D9" s="29" t="str">
        <x:v>保本售价</x:v>
      </x:c>
      <x:c r="E9" s="91" t="n">
        <x:f>IFERROR(E5/(1-B16),0)</x:f>
        <x:v>82.10526315789474</x:v>
      </x:c>
      <x:c r="F9" s="29" t="str">
        <x:v>包装</x:v>
      </x:c>
      <x:c r="G9" s="36" t="n">
        <x:f>B11</x:f>
        <x:v>1.5</x:v>
      </x:c>
      <x:c r="H9" s="38" t="n">
        <x:f>IFERROR(G9/$E$11,0)</x:f>
        <x:v>0.01171875</x:v>
      </x:c>
      <x:c r="J9" s="81" t="str">
        <x:v>定价公式</x:v>
      </x:c>
      <x:c r="K9" s="81" t="str">
        <x:v>利润率模式：固定成本 ÷ (1 - 平台扣点 - 目标净利润率)</x:v>
      </x:c>
      <x:c r="L9" s="81" t="str"/>
      <x:c r="M9" s="81" t="str"/>
      <x:c r="N9" s="81" t="str">
        <x:v>利润额模式：固定成本 + 目标利润额，再除以 (1 - 平台扣点)</x:v>
      </x:c>
      <x:c r="O9" s="81" t="str"/>
      <x:c r="P9" s="81" t="str"/>
      <x:c r="Q9" s="81" t="str"/>
    </x:row>
    <x:row r="10" ht="31.5" customHeight="1">
      <x:c r="A10" s="30" t="str">
        <x:v>快递费</x:v>
      </x:c>
      <x:c r="B10" s="87" t="n">
        <x:v>5.5</x:v>
      </x:c>
      <x:c r="C10" s="29" t="str">
        <x:v>单件承担的实际快递费</x:v>
      </x:c>
      <x:c r="D10" s="29" t="str">
        <x:v>原始建议售价</x:v>
      </x:c>
      <x:c r="E10" s="91" t="n">
        <x:f>IF(B18&gt;0,IFERROR((E5+B18)/(1-B16),0),IF(B16+B17&gt;=1,0,IFERROR(E5/(1-B16-B17),0)))</x:f>
        <x:v>127.86885245901642</x:v>
      </x:c>
      <x:c r="F10" s="29" t="str">
        <x:v>时间</x:v>
      </x:c>
      <x:c r="G10" s="36" t="n">
        <x:f>E6</x:f>
        <x:v>30</x:v>
      </x:c>
      <x:c r="H10" s="38" t="n">
        <x:f>IFERROR(G10/$E$11,0)</x:f>
        <x:v>0.234375</x:v>
      </x:c>
      <x:c r="J10" s="81" t="str">
        <x:v>注意</x:v>
      </x:c>
      <x:c r="K10" s="81" t="str">
        <x:v>平台扣点按售价计算，不能简单把 5% 加到固定成本里。</x:v>
      </x:c>
      <x:c r="L10" s="81" t="str"/>
      <x:c r="M10" s="81" t="str"/>
      <x:c r="N10" s="81" t="str"/>
      <x:c r="O10" s="81" t="str"/>
      <x:c r="P10" s="81" t="str"/>
      <x:c r="Q10" s="81" t="str"/>
    </x:row>
    <x:row r="11" ht="21" customHeight="1">
      <x:c r="A11" s="30" t="str">
        <x:v>包装费</x:v>
      </x:c>
      <x:c r="B11" s="87" t="n">
        <x:v>1.5</x:v>
      </x:c>
      <x:c r="C11" s="29" t="str">
        <x:v>盒子、卡纸、防震袋等</x:v>
      </x:c>
      <x:c r="D11" s="29" t="str">
        <x:v>建议售价</x:v>
      </x:c>
      <x:c r="E11" s="91" t="n">
        <x:f>ROUNDUP(E10,0)</x:f>
        <x:v>128</x:v>
      </x:c>
      <x:c r="F11" s="29" t="str">
        <x:v>其他</x:v>
      </x:c>
      <x:c r="G11" s="36" t="n">
        <x:f>B19</x:f>
        <x:v>0</x:v>
      </x:c>
      <x:c r="H11" s="38" t="n">
        <x:f>IFERROR(G11/$E$11,0)</x:f>
        <x:v>0</x:v>
      </x:c>
    </x:row>
    <x:row r="12" ht="21" customHeight="1">
      <x:c r="A12" s="30" t="str">
        <x:v>制作时间（小时）</x:v>
      </x:c>
      <x:c r="B12" s="78" t="n">
        <x:v>1</x:v>
      </x:c>
      <x:c r="C12" s="29" t="str">
        <x:v>例如 45 分钟填 0.75</x:v>
      </x:c>
      <x:c r="D12" s="29" t="str">
        <x:v>成交后净利润</x:v>
      </x:c>
      <x:c r="E12" s="91" t="n">
        <x:f>E11-E5-E7</x:f>
        <x:v>43.6</x:v>
      </x:c>
      <x:c r="F12" s="29" t="str">
        <x:v>平台扣点</x:v>
      </x:c>
      <x:c r="G12" s="36" t="n">
        <x:f>E7</x:f>
        <x:v>6.4</x:v>
      </x:c>
      <x:c r="H12" s="38" t="n">
        <x:f>IFERROR(G12/$E$11,0)</x:f>
        <x:v>0.05</x:v>
      </x:c>
    </x:row>
    <x:row r="13" ht="21" customHeight="1">
      <x:c r="A13" s="30" t="str">
        <x:v>目标月收入</x:v>
      </x:c>
      <x:c r="B13" s="36" t="n">
        <x:f>'参数假设'!B4</x:f>
        <x:v>6000</x:v>
      </x:c>
      <x:c r="C13" s="29" t="str">
        <x:v>默认引用参数假设</x:v>
      </x:c>
      <x:c r="D13" s="29" t="str">
        <x:v>实际净利润率</x:v>
      </x:c>
      <x:c r="E13" s="93" t="n">
        <x:f>IFERROR(E12/E11,0)</x:f>
        <x:v>0.340625</x:v>
      </x:c>
      <x:c r="F13" s="29" t="str">
        <x:v>净利润</x:v>
      </x:c>
      <x:c r="G13" s="36" t="n">
        <x:f>E12</x:f>
        <x:v>43.6</x:v>
      </x:c>
      <x:c r="H13" s="38" t="n">
        <x:f>IFERROR(G13/$E$11,0)</x:f>
        <x:v>0.340625</x:v>
      </x:c>
    </x:row>
    <x:row r="14" ht="21" customHeight="1">
      <x:c r="A14" s="30" t="str">
        <x:v>月工作时长（小时）</x:v>
      </x:c>
      <x:c r="B14" s="36" t="n">
        <x:f>'参数假设'!B5</x:f>
        <x:v>200</x:v>
      </x:c>
      <x:c r="C14" s="29" t="str">
        <x:v>默认 25 天 × 8 小时</x:v>
      </x:c>
      <x:c r="D14" s="29" t="str">
        <x:v>主材占固定成本</x:v>
      </x:c>
      <x:c r="E14" s="93" t="n">
        <x:f>IFERROR(B6/E5,0)</x:f>
        <x:v>0.5128205128205128</x:v>
      </x:c>
    </x:row>
    <x:row r="15" ht="21" customHeight="1">
      <x:c r="A15" s="30" t="str">
        <x:v>目标时薪</x:v>
      </x:c>
      <x:c r="B15" s="36" t="n">
        <x:f>IFERROR(B13/B14,0)</x:f>
        <x:v>30</x:v>
      </x:c>
      <x:c r="C15" s="29" t="str">
        <x:v>目标月收入 ÷ 月工作时长</x:v>
      </x:c>
      <x:c r="D15" s="29" t="str">
        <x:v>建议价/主材倍率</x:v>
      </x:c>
      <x:c r="E15" s="94" t="n">
        <x:f>IFERROR(E11/B6,0)</x:f>
        <x:v>3.2</x:v>
      </x:c>
    </x:row>
    <x:row r="16" ht="21" customHeight="1">
      <x:c r="A16" s="30" t="str">
        <x:v>平台扣点/摊位费率</x:v>
      </x:c>
      <x:c r="B16" s="89" t="n">
        <x:v>0.05</x:v>
      </x:c>
      <x:c r="C16" s="29" t="str">
        <x:v>小红书、抖音默认 5%</x:v>
      </x:c>
      <x:c r="D16" s="29" t="str">
        <x:v>状态</x:v>
      </x:c>
      <x:c r="E16" s="79" t="str">
        <x:f>IF(OR(B16+B17&gt;=1,E10&lt;=0),"检查扣点/利润率",IF(E13&gt;=B17,"可用","偏低"))</x:f>
        <x:v>可用</x:v>
      </x:c>
    </x:row>
    <x:row r="17" ht="21" customHeight="1">
      <x:c r="A17" s="30" t="str">
        <x:v>目标净利润率</x:v>
      </x:c>
      <x:c r="B17" s="89" t="n">
        <x:v>0.34</x:v>
      </x:c>
      <x:c r="C17" s="29" t="str">
        <x:v>利润 ÷ 售价</x:v>
      </x:c>
    </x:row>
    <x:row r="18" ht="21" customHeight="1">
      <x:c r="A18" s="30" t="str">
        <x:v>目标利润额（可选）</x:v>
      </x:c>
      <x:c r="B18" s="87" t="str"/>
      <x:c r="C18" s="29" t="str">
        <x:v>填金额时优先按利润额定价</x:v>
      </x:c>
    </x:row>
    <x:row r="19" ht="21" customHeight="1">
      <x:c r="A19" s="30" t="str">
        <x:v>其他单件成本</x:v>
      </x:c>
      <x:c r="B19" s="87" t="n">
        <x:v>0</x:v>
      </x:c>
      <x:c r="C19" s="29" t="str">
        <x:v>贴纸、损耗、赠品等</x:v>
      </x:c>
    </x:row>
  </x:sheetData>
  <x:mergeCells>
    <x:mergeCell ref="A1:Q1"/>
    <x:mergeCell ref="A2:Q2"/>
    <x:mergeCell ref="A4:C4"/>
    <x:mergeCell ref="D4:E4"/>
    <x:mergeCell ref="F4:H4"/>
    <x:mergeCell ref="J4:Q4"/>
    <x:mergeCell ref="K9:N9"/>
    <x:mergeCell ref="O9:Q9"/>
    <x:mergeCell ref="K10:Q10"/>
  </x:mergeCells>
  <x:pageMargins left="0.7" right="0.7" top="0.75" bottom="0.75" header="0.3" footer="0.3"/>
  <x:drawing xmlns:r="http://schemas.openxmlformats.org/officeDocument/2006/relationships" r:id="R0ab03eaeeb374950"/>
</x:worksheet>
</file>

<file path=xl/worksheets/sheet2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12.270000457763672" hidden="0" customWidth="1"/>
    <x:col min="3" max="3" width="10.180000305175781" hidden="0" customWidth="1"/>
    <x:col min="4" max="4" width="10.180000305175781" hidden="0" customWidth="1"/>
    <x:col min="5" max="5" width="10.180000305175781" hidden="0" customWidth="1"/>
    <x:col min="6" max="6" width="10.180000305175781" hidden="0" customWidth="1"/>
    <x:col min="7" max="7" width="9.449999809265137" hidden="0" customWidth="1"/>
    <x:col min="8" max="8" width="9.449999809265137" hidden="0" customWidth="1"/>
    <x:col min="9" max="9" width="11.039999961853027" hidden="0" customWidth="1"/>
    <x:col min="10" max="10" width="11.039999961853027" hidden="0" customWidth="1"/>
    <x:col min="11" max="11" width="11.039999961853027" hidden="0" customWidth="1"/>
    <x:col min="12" max="12" width="11.039999961853027" hidden="0" customWidth="1"/>
    <x:col min="13" max="13" width="11.039999961853027" hidden="0" customWidth="1"/>
    <x:col min="14" max="14" width="11.039999961853027" hidden="0" customWidth="1"/>
    <x:col min="15" max="15" width="11.039999961853027" hidden="0" customWidth="1"/>
    <x:col min="16" max="16" width="11.039999961853027" hidden="0" customWidth="1"/>
    <x:col min="17" max="17" width="11.039999961853027" hidden="0" customWidth="1"/>
    <x:col min="18" max="18" width="11.039999961853027" hidden="0" customWidth="1"/>
    <x:col min="19" max="19" width="11.039999961853027" hidden="0" customWidth="1"/>
    <x:col min="20" max="20" width="11.039999961853027" hidden="0" customWidth="1"/>
    <x:col min="21" max="21" width="14.109999656677246" hidden="0" customWidth="1"/>
  </x:cols>
  <x:sheetData>
    <x:row r="1" ht="30" customHeight="1">
      <x:c r="A1" s="9" t="str">
        <x:v>批量售价定价表</x:v>
      </x:c>
      <x:c r="B1" s="10" t="str">
        <x:v>批量售价定价表</x:v>
      </x:c>
      <x:c r="C1" s="10" t="str">
        <x:v>批量售价定价表</x:v>
      </x:c>
      <x:c r="D1" s="10" t="str">
        <x:v>批量售价定价表</x:v>
      </x:c>
      <x:c r="E1" s="10" t="str">
        <x:v>批量售价定价表</x:v>
      </x:c>
      <x:c r="F1" s="10" t="str">
        <x:v>批量售价定价表</x:v>
      </x:c>
      <x:c r="G1" s="10" t="str">
        <x:v>批量售价定价表</x:v>
      </x:c>
      <x:c r="H1" s="10" t="str">
        <x:v>批量售价定价表</x:v>
      </x:c>
      <x:c r="I1" s="10" t="str">
        <x:v>批量售价定价表</x:v>
      </x:c>
      <x:c r="J1" s="10" t="str">
        <x:v>批量售价定价表</x:v>
      </x:c>
      <x:c r="K1" s="10" t="str">
        <x:v>批量售价定价表</x:v>
      </x:c>
      <x:c r="L1" s="10" t="str">
        <x:v>批量售价定价表</x:v>
      </x:c>
      <x:c r="M1" s="10" t="str">
        <x:v>批量售价定价表</x:v>
      </x:c>
      <x:c r="N1" s="10" t="str">
        <x:v>批量售价定价表</x:v>
      </x:c>
      <x:c r="O1" s="10" t="str">
        <x:v>批量售价定价表</x:v>
      </x:c>
      <x:c r="P1" s="10" t="str">
        <x:v>批量售价定价表</x:v>
      </x:c>
      <x:c r="Q1" s="10" t="str">
        <x:v>批量售价定价表</x:v>
      </x:c>
      <x:c r="R1" s="10" t="str">
        <x:v>批量售价定价表</x:v>
      </x:c>
      <x:c r="S1" s="10" t="str">
        <x:v>批量售价定价表</x:v>
      </x:c>
      <x:c r="T1" s="10" t="str">
        <x:v>批量售价定价表</x:v>
      </x:c>
      <x:c r="U1" s="11" t="str">
        <x:v>批量售价定价表</x:v>
      </x:c>
    </x:row>
    <x:row r="2" ht="24" customHeight="1">
      <x:c r="A2" s="23" t="str">
        <x:v>每一行录入一个款式；黄色列为主要输入，绿色列为自动输出。渠道会自动带出平台扣点。</x:v>
      </x:c>
      <x:c r="B2" s="24" t="str">
        <x:v>每一行录入一个款式；黄色列为主要输入，绿色列为自动输出。渠道会自动带出平台扣点。</x:v>
      </x:c>
      <x:c r="C2" s="24" t="str">
        <x:v>每一行录入一个款式；黄色列为主要输入，绿色列为自动输出。渠道会自动带出平台扣点。</x:v>
      </x:c>
      <x:c r="D2" s="24" t="str">
        <x:v>每一行录入一个款式；黄色列为主要输入，绿色列为自动输出。渠道会自动带出平台扣点。</x:v>
      </x:c>
      <x:c r="E2" s="24" t="str">
        <x:v>每一行录入一个款式；黄色列为主要输入，绿色列为自动输出。渠道会自动带出平台扣点。</x:v>
      </x:c>
      <x:c r="F2" s="24" t="str">
        <x:v>每一行录入一个款式；黄色列为主要输入，绿色列为自动输出。渠道会自动带出平台扣点。</x:v>
      </x:c>
      <x:c r="G2" s="24" t="str">
        <x:v>每一行录入一个款式；黄色列为主要输入，绿色列为自动输出。渠道会自动带出平台扣点。</x:v>
      </x:c>
      <x:c r="H2" s="24" t="str">
        <x:v>每一行录入一个款式；黄色列为主要输入，绿色列为自动输出。渠道会自动带出平台扣点。</x:v>
      </x:c>
      <x:c r="I2" s="24" t="str">
        <x:v>每一行录入一个款式；黄色列为主要输入，绿色列为自动输出。渠道会自动带出平台扣点。</x:v>
      </x:c>
      <x:c r="J2" s="24" t="str">
        <x:v>每一行录入一个款式；黄色列为主要输入，绿色列为自动输出。渠道会自动带出平台扣点。</x:v>
      </x:c>
      <x:c r="K2" s="24" t="str">
        <x:v>每一行录入一个款式；黄色列为主要输入，绿色列为自动输出。渠道会自动带出平台扣点。</x:v>
      </x:c>
      <x:c r="L2" s="24" t="str">
        <x:v>每一行录入一个款式；黄色列为主要输入，绿色列为自动输出。渠道会自动带出平台扣点。</x:v>
      </x:c>
      <x:c r="M2" s="24" t="str">
        <x:v>每一行录入一个款式；黄色列为主要输入，绿色列为自动输出。渠道会自动带出平台扣点。</x:v>
      </x:c>
      <x:c r="N2" s="24" t="str">
        <x:v>每一行录入一个款式；黄色列为主要输入，绿色列为自动输出。渠道会自动带出平台扣点。</x:v>
      </x:c>
      <x:c r="O2" s="24" t="str">
        <x:v>每一行录入一个款式；黄色列为主要输入，绿色列为自动输出。渠道会自动带出平台扣点。</x:v>
      </x:c>
      <x:c r="P2" s="24" t="str">
        <x:v>每一行录入一个款式；黄色列为主要输入，绿色列为自动输出。渠道会自动带出平台扣点。</x:v>
      </x:c>
      <x:c r="Q2" s="24" t="str">
        <x:v>每一行录入一个款式；黄色列为主要输入，绿色列为自动输出。渠道会自动带出平台扣点。</x:v>
      </x:c>
      <x:c r="R2" s="24" t="str">
        <x:v>每一行录入一个款式；黄色列为主要输入，绿色列为自动输出。渠道会自动带出平台扣点。</x:v>
      </x:c>
      <x:c r="S2" s="24" t="str">
        <x:v>每一行录入一个款式；黄色列为主要输入，绿色列为自动输出。渠道会自动带出平台扣点。</x:v>
      </x:c>
      <x:c r="T2" s="24" t="str">
        <x:v>每一行录入一个款式；黄色列为主要输入，绿色列为自动输出。渠道会自动带出平台扣点。</x:v>
      </x:c>
      <x:c r="U2" s="25" t="str">
        <x:v>每一行录入一个款式；黄色列为主要输入，绿色列为自动输出。渠道会自动带出平台扣点。</x:v>
      </x:c>
    </x:row>
    <x:row r="3" ht="19.5" customHeight="1">
      <x:c r="A3" s="34" t="str">
        <x:v>产品/款式</x:v>
      </x:c>
      <x:c r="B3" s="34" t="str">
        <x:v>渠道</x:v>
      </x:c>
      <x:c r="C3" s="34" t="str">
        <x:v>主材成本</x:v>
      </x:c>
      <x:c r="D3" s="34" t="str">
        <x:v>工具摊销</x:v>
      </x:c>
      <x:c r="E3" s="34" t="str">
        <x:v>快递费</x:v>
      </x:c>
      <x:c r="F3" s="34" t="str">
        <x:v>包装费</x:v>
      </x:c>
      <x:c r="G3" s="34" t="str">
        <x:v>制作小时</x:v>
      </x:c>
      <x:c r="H3" s="34" t="str">
        <x:v>时薪</x:v>
      </x:c>
      <x:c r="I3" s="34" t="str">
        <x:v>时间成本</x:v>
      </x:c>
      <x:c r="J3" s="34" t="str">
        <x:v>其他成本</x:v>
      </x:c>
      <x:c r="K3" s="34" t="str">
        <x:v>固定成本</x:v>
      </x:c>
      <x:c r="L3" s="34" t="str">
        <x:v>平台扣点</x:v>
      </x:c>
      <x:c r="M3" s="34" t="str">
        <x:v>目标净利润率</x:v>
      </x:c>
      <x:c r="N3" s="34" t="str">
        <x:v>目标利润额</x:v>
      </x:c>
      <x:c r="O3" s="34" t="str">
        <x:v>原始建议价</x:v>
      </x:c>
      <x:c r="P3" s="34" t="str">
        <x:v>建议售价</x:v>
      </x:c>
      <x:c r="Q3" s="34" t="str">
        <x:v>平台扣点金额</x:v>
      </x:c>
      <x:c r="R3" s="34" t="str">
        <x:v>净利润</x:v>
      </x:c>
      <x:c r="S3" s="34" t="str">
        <x:v>净利润率</x:v>
      </x:c>
      <x:c r="T3" s="34" t="str">
        <x:v>主材占固定成本</x:v>
      </x:c>
      <x:c r="U3" s="34" t="str">
        <x:v>定价状态</x:v>
      </x:c>
    </x:row>
    <x:row r="4" ht="19.5" customHeight="1">
      <x:c r="A4" s="78" t="str">
        <x:v>示例手链</x:v>
      </x:c>
      <x:c r="B4" s="78" t="str">
        <x:v>小红书</x:v>
      </x:c>
      <x:c r="C4" s="87" t="n">
        <x:v>40</x:v>
      </x:c>
      <x:c r="D4" s="87" t="n">
        <x:v>1</x:v>
      </x:c>
      <x:c r="E4" s="87" t="n">
        <x:v>5.5</x:v>
      </x:c>
      <x:c r="F4" s="87" t="n">
        <x:v>1.5</x:v>
      </x:c>
      <x:c r="G4" s="78" t="n">
        <x:v>1</x:v>
      </x:c>
      <x:c r="H4" s="87" t="n">
        <x:v>30</x:v>
      </x:c>
      <x:c r="I4" s="100" t="n">
        <x:f>IF($A4="","",$G4*$H4)</x:f>
        <x:v>30</x:v>
      </x:c>
      <x:c r="J4" s="87" t="n">
        <x:v>0</x:v>
      </x:c>
      <x:c r="K4" s="91" t="n">
        <x:f>IF($A4="","",SUM($C4:$F4,$I4,$J4))</x:f>
        <x:v>78</x:v>
      </x:c>
      <x:c r="L4" s="93" t="n">
        <x:f>IF($A4="","",IFERROR(VLOOKUP($B4,'参数假设'!$A$11:$B$15,2,FALSE),'参数假设'!$B$7))</x:f>
        <x:v>0.05</x:v>
      </x:c>
      <x:c r="M4" s="89" t="n">
        <x:v>0.34</x:v>
      </x:c>
      <x:c r="N4" s="87" t="str"/>
      <x:c r="O4" s="91" t="n">
        <x:f>IF($A4="","",IF($N4&gt;0,IFERROR(($K4+$N4)/(1-$L4),""),IF($L4+$M4&gt;=1,"",IFERROR($K4/(1-$L4-$M4),""))))</x:f>
        <x:v>127.86885245901642</x:v>
      </x:c>
      <x:c r="P4" s="91" t="n">
        <x:f>IF($O4="","",ROUNDUP($O4,0))</x:f>
        <x:v>128</x:v>
      </x:c>
      <x:c r="Q4" s="91" t="n">
        <x:f>IF($A4="","",$P4*$L4)</x:f>
        <x:v>6.4</x:v>
      </x:c>
      <x:c r="R4" s="91" t="n">
        <x:f>IF($A4="","",$P4-$K4-$Q4)</x:f>
        <x:v>43.6</x:v>
      </x:c>
      <x:c r="S4" s="93" t="n">
        <x:f>IF($A4="","",IFERROR($R4/$P4,""))</x:f>
        <x:v>0.340625</x:v>
      </x:c>
      <x:c r="T4" s="93" t="n">
        <x:f>IF($A4="","",IFERROR($C4/$K4,""))</x:f>
        <x:v>0.5128205128205128</x:v>
      </x:c>
      <x:c r="U4" s="79" t="str">
        <x:f>IF($A4="","",IF($O4="","检查扣点/利润率",IF($S4&gt;=$M4,"达标","利润不足")))</x:f>
        <x:v>达标</x:v>
      </x:c>
    </x:row>
    <x:row r="5" ht="19.5" customHeight="1">
      <x:c r="A5" s="78" t="str">
        <x:v>低价发夹</x:v>
      </x:c>
      <x:c r="B5" s="78" t="str">
        <x:v>抖音</x:v>
      </x:c>
      <x:c r="C5" s="87" t="n">
        <x:v>12</x:v>
      </x:c>
      <x:c r="D5" s="87" t="n">
        <x:v>0.5</x:v>
      </x:c>
      <x:c r="E5" s="87" t="n">
        <x:v>5.5</x:v>
      </x:c>
      <x:c r="F5" s="87" t="n">
        <x:v>1</x:v>
      </x:c>
      <x:c r="G5" s="78" t="n">
        <x:v>0.4</x:v>
      </x:c>
      <x:c r="H5" s="87" t="n">
        <x:v>30</x:v>
      </x:c>
      <x:c r="I5" s="100" t="n">
        <x:f>IF($A5="","",$G5*$H5)</x:f>
        <x:v>12</x:v>
      </x:c>
      <x:c r="J5" s="87" t="n">
        <x:v>0</x:v>
      </x:c>
      <x:c r="K5" s="91" t="n">
        <x:f>IF($A5="","",SUM($C5:$F5,$I5,$J5))</x:f>
        <x:v>31</x:v>
      </x:c>
      <x:c r="L5" s="93" t="n">
        <x:f>IF($A5="","",IFERROR(VLOOKUP($B5,'参数假设'!$A$11:$B$15,2,FALSE),'参数假设'!$B$7))</x:f>
        <x:v>0.05</x:v>
      </x:c>
      <x:c r="M5" s="89" t="n">
        <x:v>0.3</x:v>
      </x:c>
      <x:c r="N5" s="87" t="str"/>
      <x:c r="O5" s="91" t="n">
        <x:f>IF($A5="","",IF($N5&gt;0,IFERROR(($K5+$N5)/(1-$L5),""),IF($L5+$M5&gt;=1,"",IFERROR($K5/(1-$L5-$M5),""))))</x:f>
        <x:v>47.6923076923077</x:v>
      </x:c>
      <x:c r="P5" s="91" t="n">
        <x:f>IF($O5="","",ROUNDUP($O5,0))</x:f>
        <x:v>48</x:v>
      </x:c>
      <x:c r="Q5" s="91" t="n">
        <x:f>IF($A5="","",$P5*$L5)</x:f>
        <x:v>2.4000000000000004</x:v>
      </x:c>
      <x:c r="R5" s="91" t="n">
        <x:f>IF($A5="","",$P5-$K5-$Q5)</x:f>
        <x:v>14.6</x:v>
      </x:c>
      <x:c r="S5" s="93" t="n">
        <x:f>IF($A5="","",IFERROR($R5/$P5,""))</x:f>
        <x:v>0.30416666666666664</x:v>
      </x:c>
      <x:c r="T5" s="93" t="n">
        <x:f>IF($A5="","",IFERROR($C5/$K5,""))</x:f>
        <x:v>0.3870967741935484</x:v>
      </x:c>
      <x:c r="U5" s="79" t="str">
        <x:f>IF($A5="","",IF($O5="","检查扣点/利润率",IF($S5&gt;=$M5,"达标","利润不足")))</x:f>
        <x:v>达标</x:v>
      </x:c>
    </x:row>
    <x:row r="6" ht="19.5" customHeight="1">
      <x:c r="A6" s="78" t="str">
        <x:v>复杂项链</x:v>
      </x:c>
      <x:c r="B6" s="78" t="str">
        <x:v>小红书</x:v>
      </x:c>
      <x:c r="C6" s="87" t="n">
        <x:v>68</x:v>
      </x:c>
      <x:c r="D6" s="87" t="n">
        <x:v>2</x:v>
      </x:c>
      <x:c r="E6" s="87" t="n">
        <x:v>7</x:v>
      </x:c>
      <x:c r="F6" s="87" t="n">
        <x:v>2</x:v>
      </x:c>
      <x:c r="G6" s="78" t="n">
        <x:v>2.5</x:v>
      </x:c>
      <x:c r="H6" s="87" t="n">
        <x:v>30</x:v>
      </x:c>
      <x:c r="I6" s="100" t="n">
        <x:f>IF($A6="","",$G6*$H6)</x:f>
        <x:v>75</x:v>
      </x:c>
      <x:c r="J6" s="87" t="n">
        <x:v>0</x:v>
      </x:c>
      <x:c r="K6" s="91" t="n">
        <x:f>IF($A6="","",SUM($C6:$F6,$I6,$J6))</x:f>
        <x:v>154</x:v>
      </x:c>
      <x:c r="L6" s="93" t="n">
        <x:f>IF($A6="","",IFERROR(VLOOKUP($B6,'参数假设'!$A$11:$B$15,2,FALSE),'参数假设'!$B$7))</x:f>
        <x:v>0.05</x:v>
      </x:c>
      <x:c r="M6" s="89" t="n">
        <x:v>0.4</x:v>
      </x:c>
      <x:c r="N6" s="87" t="str"/>
      <x:c r="O6" s="91" t="n">
        <x:f>IF($A6="","",IF($N6&gt;0,IFERROR(($K6+$N6)/(1-$L6),""),IF($L6+$M6&gt;=1,"",IFERROR($K6/(1-$L6-$M6),""))))</x:f>
        <x:v>280.00000000000006</x:v>
      </x:c>
      <x:c r="P6" s="91" t="n">
        <x:f>IF($O6="","",ROUNDUP($O6,0))</x:f>
        <x:v>281</x:v>
      </x:c>
      <x:c r="Q6" s="91" t="n">
        <x:f>IF($A6="","",$P6*$L6)</x:f>
        <x:v>14.05</x:v>
      </x:c>
      <x:c r="R6" s="91" t="n">
        <x:f>IF($A6="","",$P6-$K6-$Q6)</x:f>
        <x:v>112.95</x:v>
      </x:c>
      <x:c r="S6" s="93" t="n">
        <x:f>IF($A6="","",IFERROR($R6/$P6,""))</x:f>
        <x:v>0.4019572953736655</x:v>
      </x:c>
      <x:c r="T6" s="93" t="n">
        <x:f>IF($A6="","",IFERROR($C6/$K6,""))</x:f>
        <x:v>0.44155844155844154</x:v>
      </x:c>
      <x:c r="U6" s="79" t="str">
        <x:f>IF($A6="","",IF($O6="","检查扣点/利润率",IF($S6&gt;=$M6,"达标","利润不足")))</x:f>
        <x:v>达标</x:v>
      </x:c>
    </x:row>
    <x:row r="7" ht="19.5" customHeight="1">
      <x:c r="A7" s="78" t="str">
        <x:v>线下摊位小物</x:v>
      </x:c>
      <x:c r="B7" s="78" t="str">
        <x:v>线下摊位</x:v>
      </x:c>
      <x:c r="C7" s="87" t="n">
        <x:v>20</x:v>
      </x:c>
      <x:c r="D7" s="87" t="n">
        <x:v>0.8</x:v>
      </x:c>
      <x:c r="E7" s="87" t="n">
        <x:v>0</x:v>
      </x:c>
      <x:c r="F7" s="87" t="n">
        <x:v>1</x:v>
      </x:c>
      <x:c r="G7" s="78" t="n">
        <x:v>0.6</x:v>
      </x:c>
      <x:c r="H7" s="87" t="n">
        <x:v>30</x:v>
      </x:c>
      <x:c r="I7" s="100" t="n">
        <x:f>IF($A7="","",$G7*$H7)</x:f>
        <x:v>18</x:v>
      </x:c>
      <x:c r="J7" s="87" t="n">
        <x:v>0</x:v>
      </x:c>
      <x:c r="K7" s="91" t="n">
        <x:f>IF($A7="","",SUM($C7:$F7,$I7,$J7))</x:f>
        <x:v>39.8</x:v>
      </x:c>
      <x:c r="L7" s="93" t="n">
        <x:f>IF($A7="","",IFERROR(VLOOKUP($B7,'参数假设'!$A$11:$B$15,2,FALSE),'参数假设'!$B$7))</x:f>
        <x:v>0.1</x:v>
      </x:c>
      <x:c r="M7" s="89" t="n">
        <x:v>0.35</x:v>
      </x:c>
      <x:c r="N7" s="87" t="str"/>
      <x:c r="O7" s="91" t="n">
        <x:f>IF($A7="","",IF($N7&gt;0,IFERROR(($K7+$N7)/(1-$L7),""),IF($L7+$M7&gt;=1,"",IFERROR($K7/(1-$L7-$M7),""))))</x:f>
        <x:v>72.36363636363635</x:v>
      </x:c>
      <x:c r="P7" s="91" t="n">
        <x:f>IF($O7="","",ROUNDUP($O7,0))</x:f>
        <x:v>73</x:v>
      </x:c>
      <x:c r="Q7" s="91" t="n">
        <x:f>IF($A7="","",$P7*$L7)</x:f>
        <x:v>7.300000000000001</x:v>
      </x:c>
      <x:c r="R7" s="91" t="n">
        <x:f>IF($A7="","",$P7-$K7-$Q7)</x:f>
        <x:v>25.900000000000002</x:v>
      </x:c>
      <x:c r="S7" s="93" t="n">
        <x:f>IF($A7="","",IFERROR($R7/$P7,""))</x:f>
        <x:v>0.35479452054794525</x:v>
      </x:c>
      <x:c r="T7" s="93" t="n">
        <x:f>IF($A7="","",IFERROR($C7/$K7,""))</x:f>
        <x:v>0.5025125628140704</x:v>
      </x:c>
      <x:c r="U7" s="79" t="str">
        <x:f>IF($A7="","",IF($O7="","检查扣点/利润率",IF($S7&gt;=$M7,"达标","利润不足")))</x:f>
        <x:v>达标</x:v>
      </x:c>
    </x:row>
    <x:row r="8" ht="19.5" customHeight="1">
      <x:c r="A8" s="78" t="str"/>
      <x:c r="B8" s="78" t="str"/>
      <x:c r="C8" s="87" t="str"/>
      <x:c r="D8" s="87" t="str"/>
      <x:c r="E8" s="87" t="str"/>
      <x:c r="F8" s="87" t="str"/>
      <x:c r="G8" s="78" t="str"/>
      <x:c r="H8" s="87" t="str"/>
      <x:c r="I8" s="100" t="str">
        <x:f>IF($A8="","",$G8*$H8)</x:f>
      </x:c>
      <x:c r="J8" s="87" t="str"/>
      <x:c r="K8" s="91" t="str">
        <x:f>IF($A8="","",SUM($C8:$F8,$I8,$J8))</x:f>
      </x:c>
      <x:c r="L8" s="93" t="str">
        <x:f>IF($A8="","",IFERROR(VLOOKUP($B8,'参数假设'!$A$11:$B$15,2,FALSE),'参数假设'!$B$7))</x:f>
      </x:c>
      <x:c r="M8" s="89" t="str"/>
      <x:c r="N8" s="87" t="str"/>
      <x:c r="O8" s="91" t="str">
        <x:f>IF($A8="","",IF($N8&gt;0,IFERROR(($K8+$N8)/(1-$L8),""),IF($L8+$M8&gt;=1,"",IFERROR($K8/(1-$L8-$M8),""))))</x:f>
      </x:c>
      <x:c r="P8" s="91" t="str">
        <x:f>IF($O8="","",ROUNDUP($O8,0))</x:f>
      </x:c>
      <x:c r="Q8" s="91" t="str">
        <x:f>IF($A8="","",$P8*$L8)</x:f>
      </x:c>
      <x:c r="R8" s="91" t="str">
        <x:f>IF($A8="","",$P8-$K8-$Q8)</x:f>
      </x:c>
      <x:c r="S8" s="93" t="str">
        <x:f>IF($A8="","",IFERROR($R8/$P8,""))</x:f>
      </x:c>
      <x:c r="T8" s="93" t="str">
        <x:f>IF($A8="","",IFERROR($C8/$K8,""))</x:f>
      </x:c>
      <x:c r="U8" s="79" t="str">
        <x:f>IF($A8="","",IF($O8="","检查扣点/利润率",IF($S8&gt;=$M8,"达标","利润不足")))</x:f>
      </x:c>
    </x:row>
    <x:row r="9" ht="19.5" customHeight="1">
      <x:c r="A9" s="78" t="str"/>
      <x:c r="B9" s="78" t="str"/>
      <x:c r="C9" s="87" t="str"/>
      <x:c r="D9" s="87" t="str"/>
      <x:c r="E9" s="87" t="str"/>
      <x:c r="F9" s="87" t="str"/>
      <x:c r="G9" s="78" t="str"/>
      <x:c r="H9" s="87" t="str"/>
      <x:c r="I9" s="100" t="str">
        <x:f>IF($A9="","",$G9*$H9)</x:f>
      </x:c>
      <x:c r="J9" s="87" t="str"/>
      <x:c r="K9" s="91" t="str">
        <x:f>IF($A9="","",SUM($C9:$F9,$I9,$J9))</x:f>
      </x:c>
      <x:c r="L9" s="93" t="str">
        <x:f>IF($A9="","",IFERROR(VLOOKUP($B9,'参数假设'!$A$11:$B$15,2,FALSE),'参数假设'!$B$7))</x:f>
      </x:c>
      <x:c r="M9" s="89" t="str"/>
      <x:c r="N9" s="87" t="str"/>
      <x:c r="O9" s="91" t="str">
        <x:f>IF($A9="","",IF($N9&gt;0,IFERROR(($K9+$N9)/(1-$L9),""),IF($L9+$M9&gt;=1,"",IFERROR($K9/(1-$L9-$M9),""))))</x:f>
      </x:c>
      <x:c r="P9" s="91" t="str">
        <x:f>IF($O9="","",ROUNDUP($O9,0))</x:f>
      </x:c>
      <x:c r="Q9" s="91" t="str">
        <x:f>IF($A9="","",$P9*$L9)</x:f>
      </x:c>
      <x:c r="R9" s="91" t="str">
        <x:f>IF($A9="","",$P9-$K9-$Q9)</x:f>
      </x:c>
      <x:c r="S9" s="93" t="str">
        <x:f>IF($A9="","",IFERROR($R9/$P9,""))</x:f>
      </x:c>
      <x:c r="T9" s="93" t="str">
        <x:f>IF($A9="","",IFERROR($C9/$K9,""))</x:f>
      </x:c>
      <x:c r="U9" s="79" t="str">
        <x:f>IF($A9="","",IF($O9="","检查扣点/利润率",IF($S9&gt;=$M9,"达标","利润不足")))</x:f>
      </x:c>
    </x:row>
    <x:row r="10" ht="19.5" customHeight="1">
      <x:c r="A10" s="78" t="str"/>
      <x:c r="B10" s="78" t="str"/>
      <x:c r="C10" s="87" t="str"/>
      <x:c r="D10" s="87" t="str"/>
      <x:c r="E10" s="87" t="str"/>
      <x:c r="F10" s="87" t="str"/>
      <x:c r="G10" s="78" t="str"/>
      <x:c r="H10" s="87" t="str"/>
      <x:c r="I10" s="100" t="str">
        <x:f>IF($A10="","",$G10*$H10)</x:f>
      </x:c>
      <x:c r="J10" s="87" t="str"/>
      <x:c r="K10" s="91" t="str">
        <x:f>IF($A10="","",SUM($C10:$F10,$I10,$J10))</x:f>
      </x:c>
      <x:c r="L10" s="93" t="str">
        <x:f>IF($A10="","",IFERROR(VLOOKUP($B10,'参数假设'!$A$11:$B$15,2,FALSE),'参数假设'!$B$7))</x:f>
      </x:c>
      <x:c r="M10" s="89" t="str"/>
      <x:c r="N10" s="87" t="str"/>
      <x:c r="O10" s="91" t="str">
        <x:f>IF($A10="","",IF($N10&gt;0,IFERROR(($K10+$N10)/(1-$L10),""),IF($L10+$M10&gt;=1,"",IFERROR($K10/(1-$L10-$M10),""))))</x:f>
      </x:c>
      <x:c r="P10" s="91" t="str">
        <x:f>IF($O10="","",ROUNDUP($O10,0))</x:f>
      </x:c>
      <x:c r="Q10" s="91" t="str">
        <x:f>IF($A10="","",$P10*$L10)</x:f>
      </x:c>
      <x:c r="R10" s="91" t="str">
        <x:f>IF($A10="","",$P10-$K10-$Q10)</x:f>
      </x:c>
      <x:c r="S10" s="93" t="str">
        <x:f>IF($A10="","",IFERROR($R10/$P10,""))</x:f>
      </x:c>
      <x:c r="T10" s="93" t="str">
        <x:f>IF($A10="","",IFERROR($C10/$K10,""))</x:f>
      </x:c>
      <x:c r="U10" s="79" t="str">
        <x:f>IF($A10="","",IF($O10="","检查扣点/利润率",IF($S10&gt;=$M10,"达标","利润不足")))</x:f>
      </x:c>
    </x:row>
    <x:row r="11" ht="19.5" customHeight="1">
      <x:c r="A11" s="78" t="str"/>
      <x:c r="B11" s="78" t="str"/>
      <x:c r="C11" s="87" t="str"/>
      <x:c r="D11" s="87" t="str"/>
      <x:c r="E11" s="87" t="str"/>
      <x:c r="F11" s="87" t="str"/>
      <x:c r="G11" s="78" t="str"/>
      <x:c r="H11" s="87" t="str"/>
      <x:c r="I11" s="100" t="str">
        <x:f>IF($A11="","",$G11*$H11)</x:f>
      </x:c>
      <x:c r="J11" s="87" t="str"/>
      <x:c r="K11" s="91" t="str">
        <x:f>IF($A11="","",SUM($C11:$F11,$I11,$J11))</x:f>
      </x:c>
      <x:c r="L11" s="93" t="str">
        <x:f>IF($A11="","",IFERROR(VLOOKUP($B11,'参数假设'!$A$11:$B$15,2,FALSE),'参数假设'!$B$7))</x:f>
      </x:c>
      <x:c r="M11" s="89" t="str"/>
      <x:c r="N11" s="87" t="str"/>
      <x:c r="O11" s="91" t="str">
        <x:f>IF($A11="","",IF($N11&gt;0,IFERROR(($K11+$N11)/(1-$L11),""),IF($L11+$M11&gt;=1,"",IFERROR($K11/(1-$L11-$M11),""))))</x:f>
      </x:c>
      <x:c r="P11" s="91" t="str">
        <x:f>IF($O11="","",ROUNDUP($O11,0))</x:f>
      </x:c>
      <x:c r="Q11" s="91" t="str">
        <x:f>IF($A11="","",$P11*$L11)</x:f>
      </x:c>
      <x:c r="R11" s="91" t="str">
        <x:f>IF($A11="","",$P11-$K11-$Q11)</x:f>
      </x:c>
      <x:c r="S11" s="93" t="str">
        <x:f>IF($A11="","",IFERROR($R11/$P11,""))</x:f>
      </x:c>
      <x:c r="T11" s="93" t="str">
        <x:f>IF($A11="","",IFERROR($C11/$K11,""))</x:f>
      </x:c>
      <x:c r="U11" s="79" t="str">
        <x:f>IF($A11="","",IF($O11="","检查扣点/利润率",IF($S11&gt;=$M11,"达标","利润不足")))</x:f>
      </x:c>
    </x:row>
    <x:row r="12" ht="19.5" customHeight="1">
      <x:c r="A12" s="78" t="str"/>
      <x:c r="B12" s="78" t="str"/>
      <x:c r="C12" s="87" t="str"/>
      <x:c r="D12" s="87" t="str"/>
      <x:c r="E12" s="87" t="str"/>
      <x:c r="F12" s="87" t="str"/>
      <x:c r="G12" s="78" t="str"/>
      <x:c r="H12" s="87" t="str"/>
      <x:c r="I12" s="100" t="str">
        <x:f>IF($A12="","",$G12*$H12)</x:f>
      </x:c>
      <x:c r="J12" s="87" t="str"/>
      <x:c r="K12" s="91" t="str">
        <x:f>IF($A12="","",SUM($C12:$F12,$I12,$J12))</x:f>
      </x:c>
      <x:c r="L12" s="93" t="str">
        <x:f>IF($A12="","",IFERROR(VLOOKUP($B12,'参数假设'!$A$11:$B$15,2,FALSE),'参数假设'!$B$7))</x:f>
      </x:c>
      <x:c r="M12" s="89" t="str"/>
      <x:c r="N12" s="87" t="str"/>
      <x:c r="O12" s="91" t="str">
        <x:f>IF($A12="","",IF($N12&gt;0,IFERROR(($K12+$N12)/(1-$L12),""),IF($L12+$M12&gt;=1,"",IFERROR($K12/(1-$L12-$M12),""))))</x:f>
      </x:c>
      <x:c r="P12" s="91" t="str">
        <x:f>IF($O12="","",ROUNDUP($O12,0))</x:f>
      </x:c>
      <x:c r="Q12" s="91" t="str">
        <x:f>IF($A12="","",$P12*$L12)</x:f>
      </x:c>
      <x:c r="R12" s="91" t="str">
        <x:f>IF($A12="","",$P12-$K12-$Q12)</x:f>
      </x:c>
      <x:c r="S12" s="93" t="str">
        <x:f>IF($A12="","",IFERROR($R12/$P12,""))</x:f>
      </x:c>
      <x:c r="T12" s="93" t="str">
        <x:f>IF($A12="","",IFERROR($C12/$K12,""))</x:f>
      </x:c>
      <x:c r="U12" s="79" t="str">
        <x:f>IF($A12="","",IF($O12="","检查扣点/利润率",IF($S12&gt;=$M12,"达标","利润不足")))</x:f>
      </x:c>
    </x:row>
    <x:row r="13" ht="19.5" customHeight="1">
      <x:c r="A13" s="78" t="str"/>
      <x:c r="B13" s="78" t="str"/>
      <x:c r="C13" s="87" t="str"/>
      <x:c r="D13" s="87" t="str"/>
      <x:c r="E13" s="87" t="str"/>
      <x:c r="F13" s="87" t="str"/>
      <x:c r="G13" s="78" t="str"/>
      <x:c r="H13" s="87" t="str"/>
      <x:c r="I13" s="100" t="str">
        <x:f>IF($A13="","",$G13*$H13)</x:f>
      </x:c>
      <x:c r="J13" s="87" t="str"/>
      <x:c r="K13" s="91" t="str">
        <x:f>IF($A13="","",SUM($C13:$F13,$I13,$J13))</x:f>
      </x:c>
      <x:c r="L13" s="93" t="str">
        <x:f>IF($A13="","",IFERROR(VLOOKUP($B13,'参数假设'!$A$11:$B$15,2,FALSE),'参数假设'!$B$7))</x:f>
      </x:c>
      <x:c r="M13" s="89" t="str"/>
      <x:c r="N13" s="87" t="str"/>
      <x:c r="O13" s="91" t="str">
        <x:f>IF($A13="","",IF($N13&gt;0,IFERROR(($K13+$N13)/(1-$L13),""),IF($L13+$M13&gt;=1,"",IFERROR($K13/(1-$L13-$M13),""))))</x:f>
      </x:c>
      <x:c r="P13" s="91" t="str">
        <x:f>IF($O13="","",ROUNDUP($O13,0))</x:f>
      </x:c>
      <x:c r="Q13" s="91" t="str">
        <x:f>IF($A13="","",$P13*$L13)</x:f>
      </x:c>
      <x:c r="R13" s="91" t="str">
        <x:f>IF($A13="","",$P13-$K13-$Q13)</x:f>
      </x:c>
      <x:c r="S13" s="93" t="str">
        <x:f>IF($A13="","",IFERROR($R13/$P13,""))</x:f>
      </x:c>
      <x:c r="T13" s="93" t="str">
        <x:f>IF($A13="","",IFERROR($C13/$K13,""))</x:f>
      </x:c>
      <x:c r="U13" s="79" t="str">
        <x:f>IF($A13="","",IF($O13="","检查扣点/利润率",IF($S13&gt;=$M13,"达标","利润不足")))</x:f>
      </x:c>
    </x:row>
    <x:row r="14" ht="19.5" customHeight="1">
      <x:c r="A14" s="78" t="str"/>
      <x:c r="B14" s="78" t="str"/>
      <x:c r="C14" s="87" t="str"/>
      <x:c r="D14" s="87" t="str"/>
      <x:c r="E14" s="87" t="str"/>
      <x:c r="F14" s="87" t="str"/>
      <x:c r="G14" s="78" t="str"/>
      <x:c r="H14" s="87" t="str"/>
      <x:c r="I14" s="100" t="str">
        <x:f>IF($A14="","",$G14*$H14)</x:f>
      </x:c>
      <x:c r="J14" s="87" t="str"/>
      <x:c r="K14" s="91" t="str">
        <x:f>IF($A14="","",SUM($C14:$F14,$I14,$J14))</x:f>
      </x:c>
      <x:c r="L14" s="93" t="str">
        <x:f>IF($A14="","",IFERROR(VLOOKUP($B14,'参数假设'!$A$11:$B$15,2,FALSE),'参数假设'!$B$7))</x:f>
      </x:c>
      <x:c r="M14" s="89" t="str"/>
      <x:c r="N14" s="87" t="str"/>
      <x:c r="O14" s="91" t="str">
        <x:f>IF($A14="","",IF($N14&gt;0,IFERROR(($K14+$N14)/(1-$L14),""),IF($L14+$M14&gt;=1,"",IFERROR($K14/(1-$L14-$M14),""))))</x:f>
      </x:c>
      <x:c r="P14" s="91" t="str">
        <x:f>IF($O14="","",ROUNDUP($O14,0))</x:f>
      </x:c>
      <x:c r="Q14" s="91" t="str">
        <x:f>IF($A14="","",$P14*$L14)</x:f>
      </x:c>
      <x:c r="R14" s="91" t="str">
        <x:f>IF($A14="","",$P14-$K14-$Q14)</x:f>
      </x:c>
      <x:c r="S14" s="93" t="str">
        <x:f>IF($A14="","",IFERROR($R14/$P14,""))</x:f>
      </x:c>
      <x:c r="T14" s="93" t="str">
        <x:f>IF($A14="","",IFERROR($C14/$K14,""))</x:f>
      </x:c>
      <x:c r="U14" s="79" t="str">
        <x:f>IF($A14="","",IF($O14="","检查扣点/利润率",IF($S14&gt;=$M14,"达标","利润不足")))</x:f>
      </x:c>
    </x:row>
    <x:row r="15" ht="19.5" customHeight="1">
      <x:c r="A15" s="78" t="str"/>
      <x:c r="B15" s="78" t="str"/>
      <x:c r="C15" s="87" t="str"/>
      <x:c r="D15" s="87" t="str"/>
      <x:c r="E15" s="87" t="str"/>
      <x:c r="F15" s="87" t="str"/>
      <x:c r="G15" s="78" t="str"/>
      <x:c r="H15" s="87" t="str"/>
      <x:c r="I15" s="100" t="str">
        <x:f>IF($A15="","",$G15*$H15)</x:f>
      </x:c>
      <x:c r="J15" s="87" t="str"/>
      <x:c r="K15" s="91" t="str">
        <x:f>IF($A15="","",SUM($C15:$F15,$I15,$J15))</x:f>
      </x:c>
      <x:c r="L15" s="93" t="str">
        <x:f>IF($A15="","",IFERROR(VLOOKUP($B15,'参数假设'!$A$11:$B$15,2,FALSE),'参数假设'!$B$7))</x:f>
      </x:c>
      <x:c r="M15" s="89" t="str"/>
      <x:c r="N15" s="87" t="str"/>
      <x:c r="O15" s="91" t="str">
        <x:f>IF($A15="","",IF($N15&gt;0,IFERROR(($K15+$N15)/(1-$L15),""),IF($L15+$M15&gt;=1,"",IFERROR($K15/(1-$L15-$M15),""))))</x:f>
      </x:c>
      <x:c r="P15" s="91" t="str">
        <x:f>IF($O15="","",ROUNDUP($O15,0))</x:f>
      </x:c>
      <x:c r="Q15" s="91" t="str">
        <x:f>IF($A15="","",$P15*$L15)</x:f>
      </x:c>
      <x:c r="R15" s="91" t="str">
        <x:f>IF($A15="","",$P15-$K15-$Q15)</x:f>
      </x:c>
      <x:c r="S15" s="93" t="str">
        <x:f>IF($A15="","",IFERROR($R15/$P15,""))</x:f>
      </x:c>
      <x:c r="T15" s="93" t="str">
        <x:f>IF($A15="","",IFERROR($C15/$K15,""))</x:f>
      </x:c>
      <x:c r="U15" s="79" t="str">
        <x:f>IF($A15="","",IF($O15="","检查扣点/利润率",IF($S15&gt;=$M15,"达标","利润不足")))</x:f>
      </x:c>
    </x:row>
    <x:row r="16" ht="19.5" customHeight="1">
      <x:c r="A16" s="78" t="str"/>
      <x:c r="B16" s="78" t="str"/>
      <x:c r="C16" s="87" t="str"/>
      <x:c r="D16" s="87" t="str"/>
      <x:c r="E16" s="87" t="str"/>
      <x:c r="F16" s="87" t="str"/>
      <x:c r="G16" s="78" t="str"/>
      <x:c r="H16" s="87" t="str"/>
      <x:c r="I16" s="100" t="str">
        <x:f>IF($A16="","",$G16*$H16)</x:f>
      </x:c>
      <x:c r="J16" s="87" t="str"/>
      <x:c r="K16" s="91" t="str">
        <x:f>IF($A16="","",SUM($C16:$F16,$I16,$J16))</x:f>
      </x:c>
      <x:c r="L16" s="93" t="str">
        <x:f>IF($A16="","",IFERROR(VLOOKUP($B16,'参数假设'!$A$11:$B$15,2,FALSE),'参数假设'!$B$7))</x:f>
      </x:c>
      <x:c r="M16" s="89" t="str"/>
      <x:c r="N16" s="87" t="str"/>
      <x:c r="O16" s="91" t="str">
        <x:f>IF($A16="","",IF($N16&gt;0,IFERROR(($K16+$N16)/(1-$L16),""),IF($L16+$M16&gt;=1,"",IFERROR($K16/(1-$L16-$M16),""))))</x:f>
      </x:c>
      <x:c r="P16" s="91" t="str">
        <x:f>IF($O16="","",ROUNDUP($O16,0))</x:f>
      </x:c>
      <x:c r="Q16" s="91" t="str">
        <x:f>IF($A16="","",$P16*$L16)</x:f>
      </x:c>
      <x:c r="R16" s="91" t="str">
        <x:f>IF($A16="","",$P16-$K16-$Q16)</x:f>
      </x:c>
      <x:c r="S16" s="93" t="str">
        <x:f>IF($A16="","",IFERROR($R16/$P16,""))</x:f>
      </x:c>
      <x:c r="T16" s="93" t="str">
        <x:f>IF($A16="","",IFERROR($C16/$K16,""))</x:f>
      </x:c>
      <x:c r="U16" s="79" t="str">
        <x:f>IF($A16="","",IF($O16="","检查扣点/利润率",IF($S16&gt;=$M16,"达标","利润不足")))</x:f>
      </x:c>
    </x:row>
    <x:row r="17" ht="19.5" customHeight="1">
      <x:c r="A17" s="78" t="str"/>
      <x:c r="B17" s="78" t="str"/>
      <x:c r="C17" s="87" t="str"/>
      <x:c r="D17" s="87" t="str"/>
      <x:c r="E17" s="87" t="str"/>
      <x:c r="F17" s="87" t="str"/>
      <x:c r="G17" s="78" t="str"/>
      <x:c r="H17" s="87" t="str"/>
      <x:c r="I17" s="100" t="str">
        <x:f>IF($A17="","",$G17*$H17)</x:f>
      </x:c>
      <x:c r="J17" s="87" t="str"/>
      <x:c r="K17" s="91" t="str">
        <x:f>IF($A17="","",SUM($C17:$F17,$I17,$J17))</x:f>
      </x:c>
      <x:c r="L17" s="93" t="str">
        <x:f>IF($A17="","",IFERROR(VLOOKUP($B17,'参数假设'!$A$11:$B$15,2,FALSE),'参数假设'!$B$7))</x:f>
      </x:c>
      <x:c r="M17" s="89" t="str"/>
      <x:c r="N17" s="87" t="str"/>
      <x:c r="O17" s="91" t="str">
        <x:f>IF($A17="","",IF($N17&gt;0,IFERROR(($K17+$N17)/(1-$L17),""),IF($L17+$M17&gt;=1,"",IFERROR($K17/(1-$L17-$M17),""))))</x:f>
      </x:c>
      <x:c r="P17" s="91" t="str">
        <x:f>IF($O17="","",ROUNDUP($O17,0))</x:f>
      </x:c>
      <x:c r="Q17" s="91" t="str">
        <x:f>IF($A17="","",$P17*$L17)</x:f>
      </x:c>
      <x:c r="R17" s="91" t="str">
        <x:f>IF($A17="","",$P17-$K17-$Q17)</x:f>
      </x:c>
      <x:c r="S17" s="93" t="str">
        <x:f>IF($A17="","",IFERROR($R17/$P17,""))</x:f>
      </x:c>
      <x:c r="T17" s="93" t="str">
        <x:f>IF($A17="","",IFERROR($C17/$K17,""))</x:f>
      </x:c>
      <x:c r="U17" s="79" t="str">
        <x:f>IF($A17="","",IF($O17="","检查扣点/利润率",IF($S17&gt;=$M17,"达标","利润不足")))</x:f>
      </x:c>
    </x:row>
    <x:row r="18" ht="19.5" customHeight="1">
      <x:c r="A18" s="78" t="str"/>
      <x:c r="B18" s="78" t="str"/>
      <x:c r="C18" s="87" t="str"/>
      <x:c r="D18" s="87" t="str"/>
      <x:c r="E18" s="87" t="str"/>
      <x:c r="F18" s="87" t="str"/>
      <x:c r="G18" s="78" t="str"/>
      <x:c r="H18" s="87" t="str"/>
      <x:c r="I18" s="100" t="str">
        <x:f>IF($A18="","",$G18*$H18)</x:f>
      </x:c>
      <x:c r="J18" s="87" t="str"/>
      <x:c r="K18" s="91" t="str">
        <x:f>IF($A18="","",SUM($C18:$F18,$I18,$J18))</x:f>
      </x:c>
      <x:c r="L18" s="93" t="str">
        <x:f>IF($A18="","",IFERROR(VLOOKUP($B18,'参数假设'!$A$11:$B$15,2,FALSE),'参数假设'!$B$7))</x:f>
      </x:c>
      <x:c r="M18" s="89" t="str"/>
      <x:c r="N18" s="87" t="str"/>
      <x:c r="O18" s="91" t="str">
        <x:f>IF($A18="","",IF($N18&gt;0,IFERROR(($K18+$N18)/(1-$L18),""),IF($L18+$M18&gt;=1,"",IFERROR($K18/(1-$L18-$M18),""))))</x:f>
      </x:c>
      <x:c r="P18" s="91" t="str">
        <x:f>IF($O18="","",ROUNDUP($O18,0))</x:f>
      </x:c>
      <x:c r="Q18" s="91" t="str">
        <x:f>IF($A18="","",$P18*$L18)</x:f>
      </x:c>
      <x:c r="R18" s="91" t="str">
        <x:f>IF($A18="","",$P18-$K18-$Q18)</x:f>
      </x:c>
      <x:c r="S18" s="93" t="str">
        <x:f>IF($A18="","",IFERROR($R18/$P18,""))</x:f>
      </x:c>
      <x:c r="T18" s="93" t="str">
        <x:f>IF($A18="","",IFERROR($C18/$K18,""))</x:f>
      </x:c>
      <x:c r="U18" s="79" t="str">
        <x:f>IF($A18="","",IF($O18="","检查扣点/利润率",IF($S18&gt;=$M18,"达标","利润不足")))</x:f>
      </x:c>
    </x:row>
    <x:row r="19" ht="19.5" customHeight="1">
      <x:c r="A19" s="78" t="str"/>
      <x:c r="B19" s="78" t="str"/>
      <x:c r="C19" s="87" t="str"/>
      <x:c r="D19" s="87" t="str"/>
      <x:c r="E19" s="87" t="str"/>
      <x:c r="F19" s="87" t="str"/>
      <x:c r="G19" s="78" t="str"/>
      <x:c r="H19" s="87" t="str"/>
      <x:c r="I19" s="100" t="str">
        <x:f>IF($A19="","",$G19*$H19)</x:f>
      </x:c>
      <x:c r="J19" s="87" t="str"/>
      <x:c r="K19" s="91" t="str">
        <x:f>IF($A19="","",SUM($C19:$F19,$I19,$J19))</x:f>
      </x:c>
      <x:c r="L19" s="93" t="str">
        <x:f>IF($A19="","",IFERROR(VLOOKUP($B19,'参数假设'!$A$11:$B$15,2,FALSE),'参数假设'!$B$7))</x:f>
      </x:c>
      <x:c r="M19" s="89" t="str"/>
      <x:c r="N19" s="87" t="str"/>
      <x:c r="O19" s="91" t="str">
        <x:f>IF($A19="","",IF($N19&gt;0,IFERROR(($K19+$N19)/(1-$L19),""),IF($L19+$M19&gt;=1,"",IFERROR($K19/(1-$L19-$M19),""))))</x:f>
      </x:c>
      <x:c r="P19" s="91" t="str">
        <x:f>IF($O19="","",ROUNDUP($O19,0))</x:f>
      </x:c>
      <x:c r="Q19" s="91" t="str">
        <x:f>IF($A19="","",$P19*$L19)</x:f>
      </x:c>
      <x:c r="R19" s="91" t="str">
        <x:f>IF($A19="","",$P19-$K19-$Q19)</x:f>
      </x:c>
      <x:c r="S19" s="93" t="str">
        <x:f>IF($A19="","",IFERROR($R19/$P19,""))</x:f>
      </x:c>
      <x:c r="T19" s="93" t="str">
        <x:f>IF($A19="","",IFERROR($C19/$K19,""))</x:f>
      </x:c>
      <x:c r="U19" s="79" t="str">
        <x:f>IF($A19="","",IF($O19="","检查扣点/利润率",IF($S19&gt;=$M19,"达标","利润不足")))</x:f>
      </x:c>
    </x:row>
    <x:row r="20" ht="19.5" customHeight="1">
      <x:c r="A20" s="78" t="str"/>
      <x:c r="B20" s="78" t="str"/>
      <x:c r="C20" s="87" t="str"/>
      <x:c r="D20" s="87" t="str"/>
      <x:c r="E20" s="87" t="str"/>
      <x:c r="F20" s="87" t="str"/>
      <x:c r="G20" s="78" t="str"/>
      <x:c r="H20" s="87" t="str"/>
      <x:c r="I20" s="100" t="str">
        <x:f>IF($A20="","",$G20*$H20)</x:f>
      </x:c>
      <x:c r="J20" s="87" t="str"/>
      <x:c r="K20" s="91" t="str">
        <x:f>IF($A20="","",SUM($C20:$F20,$I20,$J20))</x:f>
      </x:c>
      <x:c r="L20" s="93" t="str">
        <x:f>IF($A20="","",IFERROR(VLOOKUP($B20,'参数假设'!$A$11:$B$15,2,FALSE),'参数假设'!$B$7))</x:f>
      </x:c>
      <x:c r="M20" s="89" t="str"/>
      <x:c r="N20" s="87" t="str"/>
      <x:c r="O20" s="91" t="str">
        <x:f>IF($A20="","",IF($N20&gt;0,IFERROR(($K20+$N20)/(1-$L20),""),IF($L20+$M20&gt;=1,"",IFERROR($K20/(1-$L20-$M20),""))))</x:f>
      </x:c>
      <x:c r="P20" s="91" t="str">
        <x:f>IF($O20="","",ROUNDUP($O20,0))</x:f>
      </x:c>
      <x:c r="Q20" s="91" t="str">
        <x:f>IF($A20="","",$P20*$L20)</x:f>
      </x:c>
      <x:c r="R20" s="91" t="str">
        <x:f>IF($A20="","",$P20-$K20-$Q20)</x:f>
      </x:c>
      <x:c r="S20" s="93" t="str">
        <x:f>IF($A20="","",IFERROR($R20/$P20,""))</x:f>
      </x:c>
      <x:c r="T20" s="93" t="str">
        <x:f>IF($A20="","",IFERROR($C20/$K20,""))</x:f>
      </x:c>
      <x:c r="U20" s="79" t="str">
        <x:f>IF($A20="","",IF($O20="","检查扣点/利润率",IF($S20&gt;=$M20,"达标","利润不足")))</x:f>
      </x:c>
    </x:row>
    <x:row r="21" ht="19.5" customHeight="1">
      <x:c r="A21" s="78" t="str"/>
      <x:c r="B21" s="78" t="str"/>
      <x:c r="C21" s="87" t="str"/>
      <x:c r="D21" s="87" t="str"/>
      <x:c r="E21" s="87" t="str"/>
      <x:c r="F21" s="87" t="str"/>
      <x:c r="G21" s="78" t="str"/>
      <x:c r="H21" s="87" t="str"/>
      <x:c r="I21" s="100" t="str">
        <x:f>IF($A21="","",$G21*$H21)</x:f>
      </x:c>
      <x:c r="J21" s="87" t="str"/>
      <x:c r="K21" s="91" t="str">
        <x:f>IF($A21="","",SUM($C21:$F21,$I21,$J21))</x:f>
      </x:c>
      <x:c r="L21" s="93" t="str">
        <x:f>IF($A21="","",IFERROR(VLOOKUP($B21,'参数假设'!$A$11:$B$15,2,FALSE),'参数假设'!$B$7))</x:f>
      </x:c>
      <x:c r="M21" s="89" t="str"/>
      <x:c r="N21" s="87" t="str"/>
      <x:c r="O21" s="91" t="str">
        <x:f>IF($A21="","",IF($N21&gt;0,IFERROR(($K21+$N21)/(1-$L21),""),IF($L21+$M21&gt;=1,"",IFERROR($K21/(1-$L21-$M21),""))))</x:f>
      </x:c>
      <x:c r="P21" s="91" t="str">
        <x:f>IF($O21="","",ROUNDUP($O21,0))</x:f>
      </x:c>
      <x:c r="Q21" s="91" t="str">
        <x:f>IF($A21="","",$P21*$L21)</x:f>
      </x:c>
      <x:c r="R21" s="91" t="str">
        <x:f>IF($A21="","",$P21-$K21-$Q21)</x:f>
      </x:c>
      <x:c r="S21" s="93" t="str">
        <x:f>IF($A21="","",IFERROR($R21/$P21,""))</x:f>
      </x:c>
      <x:c r="T21" s="93" t="str">
        <x:f>IF($A21="","",IFERROR($C21/$K21,""))</x:f>
      </x:c>
      <x:c r="U21" s="79" t="str">
        <x:f>IF($A21="","",IF($O21="","检查扣点/利润率",IF($S21&gt;=$M21,"达标","利润不足")))</x:f>
      </x:c>
    </x:row>
    <x:row r="22" ht="19.5" customHeight="1">
      <x:c r="A22" s="78" t="str"/>
      <x:c r="B22" s="78" t="str"/>
      <x:c r="C22" s="87" t="str"/>
      <x:c r="D22" s="87" t="str"/>
      <x:c r="E22" s="87" t="str"/>
      <x:c r="F22" s="87" t="str"/>
      <x:c r="G22" s="78" t="str"/>
      <x:c r="H22" s="87" t="str"/>
      <x:c r="I22" s="100" t="str">
        <x:f>IF($A22="","",$G22*$H22)</x:f>
      </x:c>
      <x:c r="J22" s="87" t="str"/>
      <x:c r="K22" s="91" t="str">
        <x:f>IF($A22="","",SUM($C22:$F22,$I22,$J22))</x:f>
      </x:c>
      <x:c r="L22" s="93" t="str">
        <x:f>IF($A22="","",IFERROR(VLOOKUP($B22,'参数假设'!$A$11:$B$15,2,FALSE),'参数假设'!$B$7))</x:f>
      </x:c>
      <x:c r="M22" s="89" t="str"/>
      <x:c r="N22" s="87" t="str"/>
      <x:c r="O22" s="91" t="str">
        <x:f>IF($A22="","",IF($N22&gt;0,IFERROR(($K22+$N22)/(1-$L22),""),IF($L22+$M22&gt;=1,"",IFERROR($K22/(1-$L22-$M22),""))))</x:f>
      </x:c>
      <x:c r="P22" s="91" t="str">
        <x:f>IF($O22="","",ROUNDUP($O22,0))</x:f>
      </x:c>
      <x:c r="Q22" s="91" t="str">
        <x:f>IF($A22="","",$P22*$L22)</x:f>
      </x:c>
      <x:c r="R22" s="91" t="str">
        <x:f>IF($A22="","",$P22-$K22-$Q22)</x:f>
      </x:c>
      <x:c r="S22" s="93" t="str">
        <x:f>IF($A22="","",IFERROR($R22/$P22,""))</x:f>
      </x:c>
      <x:c r="T22" s="93" t="str">
        <x:f>IF($A22="","",IFERROR($C22/$K22,""))</x:f>
      </x:c>
      <x:c r="U22" s="79" t="str">
        <x:f>IF($A22="","",IF($O22="","检查扣点/利润率",IF($S22&gt;=$M22,"达标","利润不足")))</x:f>
      </x:c>
    </x:row>
    <x:row r="23" ht="19.5" customHeight="1">
      <x:c r="A23" s="78" t="str"/>
      <x:c r="B23" s="78" t="str"/>
      <x:c r="C23" s="87" t="str"/>
      <x:c r="D23" s="87" t="str"/>
      <x:c r="E23" s="87" t="str"/>
      <x:c r="F23" s="87" t="str"/>
      <x:c r="G23" s="78" t="str"/>
      <x:c r="H23" s="87" t="str"/>
      <x:c r="I23" s="100" t="str">
        <x:f>IF($A23="","",$G23*$H23)</x:f>
      </x:c>
      <x:c r="J23" s="87" t="str"/>
      <x:c r="K23" s="91" t="str">
        <x:f>IF($A23="","",SUM($C23:$F23,$I23,$J23))</x:f>
      </x:c>
      <x:c r="L23" s="93" t="str">
        <x:f>IF($A23="","",IFERROR(VLOOKUP($B23,'参数假设'!$A$11:$B$15,2,FALSE),'参数假设'!$B$7))</x:f>
      </x:c>
      <x:c r="M23" s="89" t="str"/>
      <x:c r="N23" s="87" t="str"/>
      <x:c r="O23" s="91" t="str">
        <x:f>IF($A23="","",IF($N23&gt;0,IFERROR(($K23+$N23)/(1-$L23),""),IF($L23+$M23&gt;=1,"",IFERROR($K23/(1-$L23-$M23),""))))</x:f>
      </x:c>
      <x:c r="P23" s="91" t="str">
        <x:f>IF($O23="","",ROUNDUP($O23,0))</x:f>
      </x:c>
      <x:c r="Q23" s="91" t="str">
        <x:f>IF($A23="","",$P23*$L23)</x:f>
      </x:c>
      <x:c r="R23" s="91" t="str">
        <x:f>IF($A23="","",$P23-$K23-$Q23)</x:f>
      </x:c>
      <x:c r="S23" s="93" t="str">
        <x:f>IF($A23="","",IFERROR($R23/$P23,""))</x:f>
      </x:c>
      <x:c r="T23" s="93" t="str">
        <x:f>IF($A23="","",IFERROR($C23/$K23,""))</x:f>
      </x:c>
      <x:c r="U23" s="79" t="str">
        <x:f>IF($A23="","",IF($O23="","检查扣点/利润率",IF($S23&gt;=$M23,"达标","利润不足")))</x:f>
      </x:c>
    </x:row>
    <x:row r="24" ht="19.5" customHeight="1">
      <x:c r="A24" s="78" t="str"/>
      <x:c r="B24" s="78" t="str"/>
      <x:c r="C24" s="87" t="str"/>
      <x:c r="D24" s="87" t="str"/>
      <x:c r="E24" s="87" t="str"/>
      <x:c r="F24" s="87" t="str"/>
      <x:c r="G24" s="78" t="str"/>
      <x:c r="H24" s="87" t="str"/>
      <x:c r="I24" s="100" t="str">
        <x:f>IF($A24="","",$G24*$H24)</x:f>
      </x:c>
      <x:c r="J24" s="87" t="str"/>
      <x:c r="K24" s="91" t="str">
        <x:f>IF($A24="","",SUM($C24:$F24,$I24,$J24))</x:f>
      </x:c>
      <x:c r="L24" s="93" t="str">
        <x:f>IF($A24="","",IFERROR(VLOOKUP($B24,'参数假设'!$A$11:$B$15,2,FALSE),'参数假设'!$B$7))</x:f>
      </x:c>
      <x:c r="M24" s="89" t="str"/>
      <x:c r="N24" s="87" t="str"/>
      <x:c r="O24" s="91" t="str">
        <x:f>IF($A24="","",IF($N24&gt;0,IFERROR(($K24+$N24)/(1-$L24),""),IF($L24+$M24&gt;=1,"",IFERROR($K24/(1-$L24-$M24),""))))</x:f>
      </x:c>
      <x:c r="P24" s="91" t="str">
        <x:f>IF($O24="","",ROUNDUP($O24,0))</x:f>
      </x:c>
      <x:c r="Q24" s="91" t="str">
        <x:f>IF($A24="","",$P24*$L24)</x:f>
      </x:c>
      <x:c r="R24" s="91" t="str">
        <x:f>IF($A24="","",$P24-$K24-$Q24)</x:f>
      </x:c>
      <x:c r="S24" s="93" t="str">
        <x:f>IF($A24="","",IFERROR($R24/$P24,""))</x:f>
      </x:c>
      <x:c r="T24" s="93" t="str">
        <x:f>IF($A24="","",IFERROR($C24/$K24,""))</x:f>
      </x:c>
      <x:c r="U24" s="79" t="str">
        <x:f>IF($A24="","",IF($O24="","检查扣点/利润率",IF($S24&gt;=$M24,"达标","利润不足")))</x:f>
      </x:c>
    </x:row>
    <x:row r="25" ht="19.5" customHeight="1">
      <x:c r="A25" s="78" t="str"/>
      <x:c r="B25" s="78" t="str"/>
      <x:c r="C25" s="87" t="str"/>
      <x:c r="D25" s="87" t="str"/>
      <x:c r="E25" s="87" t="str"/>
      <x:c r="F25" s="87" t="str"/>
      <x:c r="G25" s="78" t="str"/>
      <x:c r="H25" s="87" t="str"/>
      <x:c r="I25" s="100" t="str">
        <x:f>IF($A25="","",$G25*$H25)</x:f>
      </x:c>
      <x:c r="J25" s="87" t="str"/>
      <x:c r="K25" s="91" t="str">
        <x:f>IF($A25="","",SUM($C25:$F25,$I25,$J25))</x:f>
      </x:c>
      <x:c r="L25" s="93" t="str">
        <x:f>IF($A25="","",IFERROR(VLOOKUP($B25,'参数假设'!$A$11:$B$15,2,FALSE),'参数假设'!$B$7))</x:f>
      </x:c>
      <x:c r="M25" s="89" t="str"/>
      <x:c r="N25" s="87" t="str"/>
      <x:c r="O25" s="91" t="str">
        <x:f>IF($A25="","",IF($N25&gt;0,IFERROR(($K25+$N25)/(1-$L25),""),IF($L25+$M25&gt;=1,"",IFERROR($K25/(1-$L25-$M25),""))))</x:f>
      </x:c>
      <x:c r="P25" s="91" t="str">
        <x:f>IF($O25="","",ROUNDUP($O25,0))</x:f>
      </x:c>
      <x:c r="Q25" s="91" t="str">
        <x:f>IF($A25="","",$P25*$L25)</x:f>
      </x:c>
      <x:c r="R25" s="91" t="str">
        <x:f>IF($A25="","",$P25-$K25-$Q25)</x:f>
      </x:c>
      <x:c r="S25" s="93" t="str">
        <x:f>IF($A25="","",IFERROR($R25/$P25,""))</x:f>
      </x:c>
      <x:c r="T25" s="93" t="str">
        <x:f>IF($A25="","",IFERROR($C25/$K25,""))</x:f>
      </x:c>
      <x:c r="U25" s="79" t="str">
        <x:f>IF($A25="","",IF($O25="","检查扣点/利润率",IF($S25&gt;=$M25,"达标","利润不足")))</x:f>
      </x:c>
    </x:row>
    <x:row r="26" ht="19.5" customHeight="1">
      <x:c r="A26" s="78" t="str"/>
      <x:c r="B26" s="78" t="str"/>
      <x:c r="C26" s="87" t="str"/>
      <x:c r="D26" s="87" t="str"/>
      <x:c r="E26" s="87" t="str"/>
      <x:c r="F26" s="87" t="str"/>
      <x:c r="G26" s="78" t="str"/>
      <x:c r="H26" s="87" t="str"/>
      <x:c r="I26" s="100" t="str">
        <x:f>IF($A26="","",$G26*$H26)</x:f>
      </x:c>
      <x:c r="J26" s="87" t="str"/>
      <x:c r="K26" s="91" t="str">
        <x:f>IF($A26="","",SUM($C26:$F26,$I26,$J26))</x:f>
      </x:c>
      <x:c r="L26" s="93" t="str">
        <x:f>IF($A26="","",IFERROR(VLOOKUP($B26,'参数假设'!$A$11:$B$15,2,FALSE),'参数假设'!$B$7))</x:f>
      </x:c>
      <x:c r="M26" s="89" t="str"/>
      <x:c r="N26" s="87" t="str"/>
      <x:c r="O26" s="91" t="str">
        <x:f>IF($A26="","",IF($N26&gt;0,IFERROR(($K26+$N26)/(1-$L26),""),IF($L26+$M26&gt;=1,"",IFERROR($K26/(1-$L26-$M26),""))))</x:f>
      </x:c>
      <x:c r="P26" s="91" t="str">
        <x:f>IF($O26="","",ROUNDUP($O26,0))</x:f>
      </x:c>
      <x:c r="Q26" s="91" t="str">
        <x:f>IF($A26="","",$P26*$L26)</x:f>
      </x:c>
      <x:c r="R26" s="91" t="str">
        <x:f>IF($A26="","",$P26-$K26-$Q26)</x:f>
      </x:c>
      <x:c r="S26" s="93" t="str">
        <x:f>IF($A26="","",IFERROR($R26/$P26,""))</x:f>
      </x:c>
      <x:c r="T26" s="93" t="str">
        <x:f>IF($A26="","",IFERROR($C26/$K26,""))</x:f>
      </x:c>
      <x:c r="U26" s="79" t="str">
        <x:f>IF($A26="","",IF($O26="","检查扣点/利润率",IF($S26&gt;=$M26,"达标","利润不足")))</x:f>
      </x:c>
    </x:row>
    <x:row r="27" ht="19.5" customHeight="1">
      <x:c r="A27" s="78" t="str"/>
      <x:c r="B27" s="78" t="str"/>
      <x:c r="C27" s="87" t="str"/>
      <x:c r="D27" s="87" t="str"/>
      <x:c r="E27" s="87" t="str"/>
      <x:c r="F27" s="87" t="str"/>
      <x:c r="G27" s="78" t="str"/>
      <x:c r="H27" s="87" t="str"/>
      <x:c r="I27" s="100" t="str">
        <x:f>IF($A27="","",$G27*$H27)</x:f>
      </x:c>
      <x:c r="J27" s="87" t="str"/>
      <x:c r="K27" s="91" t="str">
        <x:f>IF($A27="","",SUM($C27:$F27,$I27,$J27))</x:f>
      </x:c>
      <x:c r="L27" s="93" t="str">
        <x:f>IF($A27="","",IFERROR(VLOOKUP($B27,'参数假设'!$A$11:$B$15,2,FALSE),'参数假设'!$B$7))</x:f>
      </x:c>
      <x:c r="M27" s="89" t="str"/>
      <x:c r="N27" s="87" t="str"/>
      <x:c r="O27" s="91" t="str">
        <x:f>IF($A27="","",IF($N27&gt;0,IFERROR(($K27+$N27)/(1-$L27),""),IF($L27+$M27&gt;=1,"",IFERROR($K27/(1-$L27-$M27),""))))</x:f>
      </x:c>
      <x:c r="P27" s="91" t="str">
        <x:f>IF($O27="","",ROUNDUP($O27,0))</x:f>
      </x:c>
      <x:c r="Q27" s="91" t="str">
        <x:f>IF($A27="","",$P27*$L27)</x:f>
      </x:c>
      <x:c r="R27" s="91" t="str">
        <x:f>IF($A27="","",$P27-$K27-$Q27)</x:f>
      </x:c>
      <x:c r="S27" s="93" t="str">
        <x:f>IF($A27="","",IFERROR($R27/$P27,""))</x:f>
      </x:c>
      <x:c r="T27" s="93" t="str">
        <x:f>IF($A27="","",IFERROR($C27/$K27,""))</x:f>
      </x:c>
      <x:c r="U27" s="79" t="str">
        <x:f>IF($A27="","",IF($O27="","检查扣点/利润率",IF($S27&gt;=$M27,"达标","利润不足")))</x:f>
      </x:c>
    </x:row>
    <x:row r="28" ht="19.5" customHeight="1">
      <x:c r="A28" s="78" t="str"/>
      <x:c r="B28" s="78" t="str"/>
      <x:c r="C28" s="87" t="str"/>
      <x:c r="D28" s="87" t="str"/>
      <x:c r="E28" s="87" t="str"/>
      <x:c r="F28" s="87" t="str"/>
      <x:c r="G28" s="78" t="str"/>
      <x:c r="H28" s="87" t="str"/>
      <x:c r="I28" s="100" t="str">
        <x:f>IF($A28="","",$G28*$H28)</x:f>
      </x:c>
      <x:c r="J28" s="87" t="str"/>
      <x:c r="K28" s="91" t="str">
        <x:f>IF($A28="","",SUM($C28:$F28,$I28,$J28))</x:f>
      </x:c>
      <x:c r="L28" s="93" t="str">
        <x:f>IF($A28="","",IFERROR(VLOOKUP($B28,'参数假设'!$A$11:$B$15,2,FALSE),'参数假设'!$B$7))</x:f>
      </x:c>
      <x:c r="M28" s="89" t="str"/>
      <x:c r="N28" s="87" t="str"/>
      <x:c r="O28" s="91" t="str">
        <x:f>IF($A28="","",IF($N28&gt;0,IFERROR(($K28+$N28)/(1-$L28),""),IF($L28+$M28&gt;=1,"",IFERROR($K28/(1-$L28-$M28),""))))</x:f>
      </x:c>
      <x:c r="P28" s="91" t="str">
        <x:f>IF($O28="","",ROUNDUP($O28,0))</x:f>
      </x:c>
      <x:c r="Q28" s="91" t="str">
        <x:f>IF($A28="","",$P28*$L28)</x:f>
      </x:c>
      <x:c r="R28" s="91" t="str">
        <x:f>IF($A28="","",$P28-$K28-$Q28)</x:f>
      </x:c>
      <x:c r="S28" s="93" t="str">
        <x:f>IF($A28="","",IFERROR($R28/$P28,""))</x:f>
      </x:c>
      <x:c r="T28" s="93" t="str">
        <x:f>IF($A28="","",IFERROR($C28/$K28,""))</x:f>
      </x:c>
      <x:c r="U28" s="79" t="str">
        <x:f>IF($A28="","",IF($O28="","检查扣点/利润率",IF($S28&gt;=$M28,"达标","利润不足")))</x:f>
      </x:c>
    </x:row>
    <x:row r="29" ht="19.5" customHeight="1">
      <x:c r="A29" s="78" t="str"/>
      <x:c r="B29" s="78" t="str"/>
      <x:c r="C29" s="87" t="str"/>
      <x:c r="D29" s="87" t="str"/>
      <x:c r="E29" s="87" t="str"/>
      <x:c r="F29" s="87" t="str"/>
      <x:c r="G29" s="78" t="str"/>
      <x:c r="H29" s="87" t="str"/>
      <x:c r="I29" s="100" t="str">
        <x:f>IF($A29="","",$G29*$H29)</x:f>
      </x:c>
      <x:c r="J29" s="87" t="str"/>
      <x:c r="K29" s="91" t="str">
        <x:f>IF($A29="","",SUM($C29:$F29,$I29,$J29))</x:f>
      </x:c>
      <x:c r="L29" s="93" t="str">
        <x:f>IF($A29="","",IFERROR(VLOOKUP($B29,'参数假设'!$A$11:$B$15,2,FALSE),'参数假设'!$B$7))</x:f>
      </x:c>
      <x:c r="M29" s="89" t="str"/>
      <x:c r="N29" s="87" t="str"/>
      <x:c r="O29" s="91" t="str">
        <x:f>IF($A29="","",IF($N29&gt;0,IFERROR(($K29+$N29)/(1-$L29),""),IF($L29+$M29&gt;=1,"",IFERROR($K29/(1-$L29-$M29),""))))</x:f>
      </x:c>
      <x:c r="P29" s="91" t="str">
        <x:f>IF($O29="","",ROUNDUP($O29,0))</x:f>
      </x:c>
      <x:c r="Q29" s="91" t="str">
        <x:f>IF($A29="","",$P29*$L29)</x:f>
      </x:c>
      <x:c r="R29" s="91" t="str">
        <x:f>IF($A29="","",$P29-$K29-$Q29)</x:f>
      </x:c>
      <x:c r="S29" s="93" t="str">
        <x:f>IF($A29="","",IFERROR($R29/$P29,""))</x:f>
      </x:c>
      <x:c r="T29" s="93" t="str">
        <x:f>IF($A29="","",IFERROR($C29/$K29,""))</x:f>
      </x:c>
      <x:c r="U29" s="79" t="str">
        <x:f>IF($A29="","",IF($O29="","检查扣点/利润率",IF($S29&gt;=$M29,"达标","利润不足")))</x:f>
      </x:c>
    </x:row>
    <x:row r="30" ht="19.5" customHeight="1">
      <x:c r="A30" s="78" t="str"/>
      <x:c r="B30" s="78" t="str"/>
      <x:c r="C30" s="87" t="str"/>
      <x:c r="D30" s="87" t="str"/>
      <x:c r="E30" s="87" t="str"/>
      <x:c r="F30" s="87" t="str"/>
      <x:c r="G30" s="78" t="str"/>
      <x:c r="H30" s="87" t="str"/>
      <x:c r="I30" s="100" t="str">
        <x:f>IF($A30="","",$G30*$H30)</x:f>
      </x:c>
      <x:c r="J30" s="87" t="str"/>
      <x:c r="K30" s="91" t="str">
        <x:f>IF($A30="","",SUM($C30:$F30,$I30,$J30))</x:f>
      </x:c>
      <x:c r="L30" s="93" t="str">
        <x:f>IF($A30="","",IFERROR(VLOOKUP($B30,'参数假设'!$A$11:$B$15,2,FALSE),'参数假设'!$B$7))</x:f>
      </x:c>
      <x:c r="M30" s="89" t="str"/>
      <x:c r="N30" s="87" t="str"/>
      <x:c r="O30" s="91" t="str">
        <x:f>IF($A30="","",IF($N30&gt;0,IFERROR(($K30+$N30)/(1-$L30),""),IF($L30+$M30&gt;=1,"",IFERROR($K30/(1-$L30-$M30),""))))</x:f>
      </x:c>
      <x:c r="P30" s="91" t="str">
        <x:f>IF($O30="","",ROUNDUP($O30,0))</x:f>
      </x:c>
      <x:c r="Q30" s="91" t="str">
        <x:f>IF($A30="","",$P30*$L30)</x:f>
      </x:c>
      <x:c r="R30" s="91" t="str">
        <x:f>IF($A30="","",$P30-$K30-$Q30)</x:f>
      </x:c>
      <x:c r="S30" s="93" t="str">
        <x:f>IF($A30="","",IFERROR($R30/$P30,""))</x:f>
      </x:c>
      <x:c r="T30" s="93" t="str">
        <x:f>IF($A30="","",IFERROR($C30/$K30,""))</x:f>
      </x:c>
      <x:c r="U30" s="79" t="str">
        <x:f>IF($A30="","",IF($O30="","检查扣点/利润率",IF($S30&gt;=$M30,"达标","利润不足")))</x:f>
      </x:c>
    </x:row>
    <x:row r="31" ht="19.5" customHeight="1">
      <x:c r="A31" s="78" t="str"/>
      <x:c r="B31" s="78" t="str"/>
      <x:c r="C31" s="87" t="str"/>
      <x:c r="D31" s="87" t="str"/>
      <x:c r="E31" s="87" t="str"/>
      <x:c r="F31" s="87" t="str"/>
      <x:c r="G31" s="78" t="str"/>
      <x:c r="H31" s="87" t="str"/>
      <x:c r="I31" s="100" t="str">
        <x:f>IF($A31="","",$G31*$H31)</x:f>
      </x:c>
      <x:c r="J31" s="87" t="str"/>
      <x:c r="K31" s="91" t="str">
        <x:f>IF($A31="","",SUM($C31:$F31,$I31,$J31))</x:f>
      </x:c>
      <x:c r="L31" s="93" t="str">
        <x:f>IF($A31="","",IFERROR(VLOOKUP($B31,'参数假设'!$A$11:$B$15,2,FALSE),'参数假设'!$B$7))</x:f>
      </x:c>
      <x:c r="M31" s="89" t="str"/>
      <x:c r="N31" s="87" t="str"/>
      <x:c r="O31" s="91" t="str">
        <x:f>IF($A31="","",IF($N31&gt;0,IFERROR(($K31+$N31)/(1-$L31),""),IF($L31+$M31&gt;=1,"",IFERROR($K31/(1-$L31-$M31),""))))</x:f>
      </x:c>
      <x:c r="P31" s="91" t="str">
        <x:f>IF($O31="","",ROUNDUP($O31,0))</x:f>
      </x:c>
      <x:c r="Q31" s="91" t="str">
        <x:f>IF($A31="","",$P31*$L31)</x:f>
      </x:c>
      <x:c r="R31" s="91" t="str">
        <x:f>IF($A31="","",$P31-$K31-$Q31)</x:f>
      </x:c>
      <x:c r="S31" s="93" t="str">
        <x:f>IF($A31="","",IFERROR($R31/$P31,""))</x:f>
      </x:c>
      <x:c r="T31" s="93" t="str">
        <x:f>IF($A31="","",IFERROR($C31/$K31,""))</x:f>
      </x:c>
      <x:c r="U31" s="79" t="str">
        <x:f>IF($A31="","",IF($O31="","检查扣点/利润率",IF($S31&gt;=$M31,"达标","利润不足")))</x:f>
      </x:c>
    </x:row>
    <x:row r="32" ht="19.5" customHeight="1">
      <x:c r="A32" s="78" t="str"/>
      <x:c r="B32" s="78" t="str"/>
      <x:c r="C32" s="87" t="str"/>
      <x:c r="D32" s="87" t="str"/>
      <x:c r="E32" s="87" t="str"/>
      <x:c r="F32" s="87" t="str"/>
      <x:c r="G32" s="78" t="str"/>
      <x:c r="H32" s="87" t="str"/>
      <x:c r="I32" s="100" t="str">
        <x:f>IF($A32="","",$G32*$H32)</x:f>
      </x:c>
      <x:c r="J32" s="87" t="str"/>
      <x:c r="K32" s="91" t="str">
        <x:f>IF($A32="","",SUM($C32:$F32,$I32,$J32))</x:f>
      </x:c>
      <x:c r="L32" s="93" t="str">
        <x:f>IF($A32="","",IFERROR(VLOOKUP($B32,'参数假设'!$A$11:$B$15,2,FALSE),'参数假设'!$B$7))</x:f>
      </x:c>
      <x:c r="M32" s="89" t="str"/>
      <x:c r="N32" s="87" t="str"/>
      <x:c r="O32" s="91" t="str">
        <x:f>IF($A32="","",IF($N32&gt;0,IFERROR(($K32+$N32)/(1-$L32),""),IF($L32+$M32&gt;=1,"",IFERROR($K32/(1-$L32-$M32),""))))</x:f>
      </x:c>
      <x:c r="P32" s="91" t="str">
        <x:f>IF($O32="","",ROUNDUP($O32,0))</x:f>
      </x:c>
      <x:c r="Q32" s="91" t="str">
        <x:f>IF($A32="","",$P32*$L32)</x:f>
      </x:c>
      <x:c r="R32" s="91" t="str">
        <x:f>IF($A32="","",$P32-$K32-$Q32)</x:f>
      </x:c>
      <x:c r="S32" s="93" t="str">
        <x:f>IF($A32="","",IFERROR($R32/$P32,""))</x:f>
      </x:c>
      <x:c r="T32" s="93" t="str">
        <x:f>IF($A32="","",IFERROR($C32/$K32,""))</x:f>
      </x:c>
      <x:c r="U32" s="79" t="str">
        <x:f>IF($A32="","",IF($O32="","检查扣点/利润率",IF($S32&gt;=$M32,"达标","利润不足")))</x:f>
      </x:c>
    </x:row>
    <x:row r="33" ht="19.5" customHeight="1">
      <x:c r="A33" s="78" t="str"/>
      <x:c r="B33" s="78" t="str"/>
      <x:c r="C33" s="87" t="str"/>
      <x:c r="D33" s="87" t="str"/>
      <x:c r="E33" s="87" t="str"/>
      <x:c r="F33" s="87" t="str"/>
      <x:c r="G33" s="78" t="str"/>
      <x:c r="H33" s="87" t="str"/>
      <x:c r="I33" s="100" t="str">
        <x:f>IF($A33="","",$G33*$H33)</x:f>
      </x:c>
      <x:c r="J33" s="87" t="str"/>
      <x:c r="K33" s="91" t="str">
        <x:f>IF($A33="","",SUM($C33:$F33,$I33,$J33))</x:f>
      </x:c>
      <x:c r="L33" s="93" t="str">
        <x:f>IF($A33="","",IFERROR(VLOOKUP($B33,'参数假设'!$A$11:$B$15,2,FALSE),'参数假设'!$B$7))</x:f>
      </x:c>
      <x:c r="M33" s="89" t="str"/>
      <x:c r="N33" s="87" t="str"/>
      <x:c r="O33" s="91" t="str">
        <x:f>IF($A33="","",IF($N33&gt;0,IFERROR(($K33+$N33)/(1-$L33),""),IF($L33+$M33&gt;=1,"",IFERROR($K33/(1-$L33-$M33),""))))</x:f>
      </x:c>
      <x:c r="P33" s="91" t="str">
        <x:f>IF($O33="","",ROUNDUP($O33,0))</x:f>
      </x:c>
      <x:c r="Q33" s="91" t="str">
        <x:f>IF($A33="","",$P33*$L33)</x:f>
      </x:c>
      <x:c r="R33" s="91" t="str">
        <x:f>IF($A33="","",$P33-$K33-$Q33)</x:f>
      </x:c>
      <x:c r="S33" s="93" t="str">
        <x:f>IF($A33="","",IFERROR($R33/$P33,""))</x:f>
      </x:c>
      <x:c r="T33" s="93" t="str">
        <x:f>IF($A33="","",IFERROR($C33/$K33,""))</x:f>
      </x:c>
      <x:c r="U33" s="79" t="str">
        <x:f>IF($A33="","",IF($O33="","检查扣点/利润率",IF($S33&gt;=$M33,"达标","利润不足")))</x:f>
      </x:c>
    </x:row>
  </x:sheetData>
  <x:mergeCells>
    <x:mergeCell ref="A1:U1"/>
    <x:mergeCell ref="A2:U2"/>
  </x:mergeCells>
  <x:dataValidations count="1">
    <x:dataValidation type="list" sqref="B4:B33">
      <x:formula1>"小红书,抖音,微信/私域,线下摊位,其他"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14.109999656677246" hidden="0" customWidth="1"/>
    <x:col min="4" max="4" width="13.130000114440918" hidden="0" customWidth="1"/>
    <x:col min="5" max="5" width="11.65999984741211" hidden="0" customWidth="1"/>
    <x:col min="6" max="6" width="46.0099983215332" hidden="0" customWidth="1"/>
  </x:cols>
  <x:sheetData>
    <x:row r="1" ht="27" customHeight="1">
      <x:c r="A1" s="9" t="str">
        <x:v>手作定价参数假设</x:v>
      </x:c>
      <x:c r="B1" s="10" t="str">
        <x:v>手作定价参数假设</x:v>
      </x:c>
      <x:c r="C1" s="10" t="str">
        <x:v>手作定价参数假设</x:v>
      </x:c>
      <x:c r="D1" s="10" t="str">
        <x:v>手作定价参数假设</x:v>
      </x:c>
      <x:c r="E1" s="10" t="str">
        <x:v>手作定价参数假设</x:v>
      </x:c>
      <x:c r="F1" s="11" t="str">
        <x:v>手作定价参数假设</x:v>
      </x:c>
    </x:row>
    <x:row r="2" ht="24" customHeight="1">
      <x:c r="A2" s="23" t="str">
        <x:v>这里维护默认时薪、平台扣点和成本建议区间；其他工作表会引用这些参数。</x:v>
      </x:c>
      <x:c r="B2" s="24" t="str">
        <x:v>这里维护默认时薪、平台扣点和成本建议区间；其他工作表会引用这些参数。</x:v>
      </x:c>
      <x:c r="C2" s="24" t="str">
        <x:v>这里维护默认时薪、平台扣点和成本建议区间；其他工作表会引用这些参数。</x:v>
      </x:c>
      <x:c r="D2" s="24" t="str">
        <x:v>这里维护默认时薪、平台扣点和成本建议区间；其他工作表会引用这些参数。</x:v>
      </x:c>
      <x:c r="E2" s="24" t="str">
        <x:v>这里维护默认时薪、平台扣点和成本建议区间；其他工作表会引用这些参数。</x:v>
      </x:c>
      <x:c r="F2" s="25" t="str">
        <x:v>这里维护默认时薪、平台扣点和成本建议区间；其他工作表会引用这些参数。</x:v>
      </x:c>
    </x:row>
    <x:row r="4">
      <x:c r="A4" s="30" t="str">
        <x:v>目标月收入</x:v>
      </x:c>
      <x:c r="B4" s="36" t="n">
        <x:v>6000</x:v>
      </x:c>
      <x:c r="D4" s="34" t="str">
        <x:v>成本类型</x:v>
      </x:c>
      <x:c r="E4" s="34" t="str">
        <x:v>建议区间</x:v>
      </x:c>
      <x:c r="F4" s="34" t="str">
        <x:v>说明</x:v>
      </x:c>
    </x:row>
    <x:row r="5" ht="33" customHeight="1">
      <x:c r="A5" s="30" t="str">
        <x:v>每月工作时长（小时）</x:v>
      </x:c>
      <x:c r="B5" s="36" t="n">
        <x:v>200</x:v>
      </x:c>
      <x:c r="D5" s="29" t="str">
        <x:v>材料成本</x:v>
      </x:c>
      <x:c r="E5" s="29" t="str">
        <x:v>40%-50%</x:v>
      </x:c>
      <x:c r="F5" s="29" t="str">
        <x:v>珠子、线材等主材，按批量采购和单件耗用量计算。</x:v>
      </x:c>
    </x:row>
    <x:row r="6" ht="33" customHeight="1">
      <x:c r="A6" s="30" t="str">
        <x:v>自动计算时薪</x:v>
      </x:c>
      <x:c r="B6" s="36" t="n">
        <x:f>IFERROR(B4/B5,0)</x:f>
        <x:v>30</x:v>
      </x:c>
      <x:c r="D6" s="29" t="str">
        <x:v>工具成本</x:v>
      </x:c>
      <x:c r="E6" s="29" t="str">
        <x:v>2%-5%</x:v>
      </x:c>
      <x:c r="F6" s="29" t="str">
        <x:v>钳子、胶水等一次性工具，建议按预计件数摊销到单件。</x:v>
      </x:c>
    </x:row>
    <x:row r="7" ht="33" customHeight="1">
      <x:c r="A7" s="30" t="str">
        <x:v>默认平台扣点</x:v>
      </x:c>
      <x:c r="B7" s="38" t="n">
        <x:v>0.05</x:v>
      </x:c>
      <x:c r="D7" s="29" t="str">
        <x:v>物流成本</x:v>
      </x:c>
      <x:c r="E7" s="29" t="str">
        <x:v>8%-20%</x:v>
      </x:c>
      <x:c r="F7" s="29" t="str">
        <x:v>快递和包装都要计入，低客单价商品尤其不能忽略。</x:v>
      </x:c>
    </x:row>
    <x:row r="8" ht="33" customHeight="1">
      <x:c r="A8" s="30" t="str">
        <x:v>默认目标净利润率</x:v>
      </x:c>
      <x:c r="B8" s="38" t="n">
        <x:v>0.34</x:v>
      </x:c>
      <x:c r="D8" s="29" t="str">
        <x:v>时间成本</x:v>
      </x:c>
      <x:c r="E8" s="29" t="str">
        <x:v>按时薪</x:v>
      </x:c>
      <x:c r="F8" s="29" t="str">
        <x:v>时薪 = 目标月收入 ÷ 每月工作时长；单件时间成本 = 时薪 × 制作时间。</x:v>
      </x:c>
    </x:row>
    <x:row r="9" ht="33" customHeight="1">
      <x:c r="D9" s="29" t="str">
        <x:v>运营成本</x:v>
      </x:c>
      <x:c r="E9" s="29" t="str">
        <x:v>按渠道</x:v>
      </x:c>
      <x:c r="F9" s="29" t="str">
        <x:v>平台扣点或摊位费按售价比例扣除，不建议直接混入固定成本。</x:v>
      </x:c>
    </x:row>
    <x:row r="10" ht="33" customHeight="1">
      <x:c r="A10" s="34" t="str">
        <x:v>销售渠道</x:v>
      </x:c>
      <x:c r="B10" s="34" t="str">
        <x:v>默认扣点/摊位费率</x:v>
      </x:c>
      <x:c r="D10" s="29" t="str">
        <x:v>目标利润</x:v>
      </x:c>
      <x:c r="E10" s="29" t="str">
        <x:v>20%-40%</x:v>
      </x:c>
      <x:c r="F10" s="29" t="str">
        <x:v>零售手作常见目标净利润率，可按品类、稀缺度和竞争调整。</x:v>
      </x:c>
    </x:row>
    <x:row r="11">
      <x:c r="A11" s="29" t="str">
        <x:v>小红书</x:v>
      </x:c>
      <x:c r="B11" s="38" t="n">
        <x:v>0.05</x:v>
      </x:c>
    </x:row>
    <x:row r="12">
      <x:c r="A12" s="29" t="str">
        <x:v>抖音</x:v>
      </x:c>
      <x:c r="B12" s="38" t="n">
        <x:v>0.05</x:v>
      </x:c>
    </x:row>
    <x:row r="13">
      <x:c r="A13" s="29" t="str">
        <x:v>微信/私域</x:v>
      </x:c>
      <x:c r="B13" s="38" t="n">
        <x:v>0</x:v>
      </x:c>
    </x:row>
    <x:row r="14">
      <x:c r="A14" s="29" t="str">
        <x:v>线下摊位</x:v>
      </x:c>
      <x:c r="B14" s="38" t="n">
        <x:v>0.1</x:v>
      </x:c>
    </x:row>
    <x:row r="15">
      <x:c r="A15" s="29" t="str">
        <x:v>其他</x:v>
      </x:c>
      <x:c r="B15" s="38" t="n">
        <x:v>0.05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430000305175781" hidden="0" customWidth="1"/>
    <x:col min="2" max="2" width="15.34000015258789" hidden="0" customWidth="1"/>
    <x:col min="3" max="3" width="11.65999984741211" hidden="0" customWidth="1"/>
    <x:col min="4" max="4" width="12.880000114440918" hidden="0" customWidth="1"/>
    <x:col min="5" max="5" width="38.650001525878906" hidden="0" customWidth="1"/>
    <x:col min="6" max="6" width="38.650001525878906" hidden="0" customWidth="1"/>
  </x:cols>
  <x:sheetData>
    <x:row r="1" ht="30" customHeight="1">
      <x:c r="A1" s="9" t="str">
        <x:v>手作成本定价说明表</x:v>
      </x:c>
      <x:c r="B1" s="10" t="str">
        <x:v>手作成本定价说明表</x:v>
      </x:c>
      <x:c r="C1" s="10" t="str">
        <x:v>手作成本定价说明表</x:v>
      </x:c>
      <x:c r="D1" s="10" t="str">
        <x:v>手作成本定价说明表</x:v>
      </x:c>
      <x:c r="E1" s="10" t="str">
        <x:v>手作成本定价说明表</x:v>
      </x:c>
      <x:c r="F1" s="11" t="str">
        <x:v>手作成本定价说明表</x:v>
      </x:c>
    </x:row>
    <x:row r="2" ht="24" customHeight="1">
      <x:c r="A2" s="23" t="str">
        <x:v>按你提供的成本口径整理，可作为团队培训或后台说明文档。</x:v>
      </x:c>
      <x:c r="B2" s="24" t="str">
        <x:v>按你提供的成本口径整理，可作为团队培训或后台说明文档。</x:v>
      </x:c>
      <x:c r="C2" s="24" t="str">
        <x:v>按你提供的成本口径整理，可作为团队培训或后台说明文档。</x:v>
      </x:c>
      <x:c r="D2" s="24" t="str">
        <x:v>按你提供的成本口径整理，可作为团队培训或后台说明文档。</x:v>
      </x:c>
      <x:c r="E2" s="24" t="str">
        <x:v>按你提供的成本口径整理，可作为团队培训或后台说明文档。</x:v>
      </x:c>
      <x:c r="F2" s="25" t="str">
        <x:v>按你提供的成本口径整理，可作为团队培训或后台说明文档。</x:v>
      </x:c>
    </x:row>
    <x:row r="4">
      <x:c r="A4" s="34" t="str">
        <x:v>类别</x:v>
      </x:c>
      <x:c r="B4" s="34" t="str">
        <x:v>细分项目</x:v>
      </x:c>
      <x:c r="C4" s="34" t="str">
        <x:v>占比建议</x:v>
      </x:c>
      <x:c r="D4" s="34" t="str">
        <x:v>示例成本（元）</x:v>
      </x:c>
      <x:c r="E4" s="34" t="str">
        <x:v>计算备注</x:v>
      </x:c>
      <x:c r="F4" s="34" t="str">
        <x:v>省钱建议</x:v>
      </x:c>
    </x:row>
    <x:row r="5" ht="36" customHeight="1">
      <x:c r="A5" s="30" t="str">
        <x:v>材料成本</x:v>
      </x:c>
      <x:c r="B5" s="29" t="str">
        <x:v>珠子、线材等</x:v>
      </x:c>
      <x:c r="C5" s="29" t="str">
        <x:v>40%-50%</x:v>
      </x:c>
      <x:c r="D5" s="101" t="n">
        <x:v>40</x:v>
      </x:c>
      <x:c r="E5" s="29" t="str">
        <x:v>根据批量采购价和单件耗用量计算</x:v>
      </x:c>
      <x:c r="F5" s="29" t="str">
        <x:v>大促采购；避免囤积冷门色；优先选择通用性材料</x:v>
      </x:c>
    </x:row>
    <x:row r="6" ht="36" customHeight="1">
      <x:c r="A6" s="30" t="str">
        <x:v>工具成本</x:v>
      </x:c>
      <x:c r="B6" s="29" t="str">
        <x:v>钳子、胶水等</x:v>
      </x:c>
      <x:c r="C6" s="29" t="str">
        <x:v>2%-5%</x:v>
      </x:c>
      <x:c r="D6" s="101" t="n">
        <x:v>1</x:v>
      </x:c>
      <x:c r="E6" s="29" t="str">
        <x:v>按工具购置额 ÷ 预计制作件数摊销</x:v>
      </x:c>
      <x:c r="F6" s="29" t="str">
        <x:v>初期选择入门工具，确认销量后再升级</x:v>
      </x:c>
    </x:row>
    <x:row r="7" ht="36" customHeight="1">
      <x:c r="A7" s="30" t="str">
        <x:v>物流成本</x:v>
      </x:c>
      <x:c r="B7" s="29" t="str">
        <x:v>快递</x:v>
      </x:c>
      <x:c r="C7" s="29" t="str">
        <x:v>5%-15%</x:v>
      </x:c>
      <x:c r="D7" s="101" t="n">
        <x:v>5.5</x:v>
      </x:c>
      <x:c r="E7" s="29" t="str">
        <x:v>按实际快递支出计算</x:v>
      </x:c>
      <x:c r="F7" s="29" t="str">
        <x:v>与网点或本地电商公司合作；使用寄件小程序比价</x:v>
      </x:c>
    </x:row>
    <x:row r="8" ht="36" customHeight="1">
      <x:c r="A8" s="30" t="str">
        <x:v>物流成本</x:v>
      </x:c>
      <x:c r="B8" s="29" t="str">
        <x:v>包装</x:v>
      </x:c>
      <x:c r="C8" s="29" t="str">
        <x:v>3%-5%</x:v>
      </x:c>
      <x:c r="D8" s="101" t="n">
        <x:v>1.5</x:v>
      </x:c>
      <x:c r="E8" s="29" t="str">
        <x:v>盒子、卡纸、防震材料等</x:v>
      </x:c>
      <x:c r="F8" s="29" t="str">
        <x:v>不要过度包装；选择符合品牌定位的包装</x:v>
      </x:c>
    </x:row>
    <x:row r="9" ht="36" customHeight="1">
      <x:c r="A9" s="30" t="str">
        <x:v>时间成本</x:v>
      </x:c>
      <x:c r="B9" s="29" t="str">
        <x:v>制作时间</x:v>
      </x:c>
      <x:c r="C9" s="29" t="str">
        <x:v>按时薪</x:v>
      </x:c>
      <x:c r="D9" s="101" t="n">
        <x:v>30</x:v>
      </x:c>
      <x:c r="E9" s="29" t="str">
        <x:v>目标时薪 × 制作时间</x:v>
      </x:c>
      <x:c r="F9" s="29" t="str">
        <x:v>优化流程；设置合理时薪，避免低估自己的时间价值</x:v>
      </x:c>
    </x:row>
    <x:row r="10" ht="36" customHeight="1">
      <x:c r="A10" s="30" t="str">
        <x:v>运营成本</x:v>
      </x:c>
      <x:c r="B10" s="29" t="str">
        <x:v>平台扣点/摊位费</x:v>
      </x:c>
      <x:c r="C10" s="29" t="str">
        <x:v>常见 5%-10%</x:v>
      </x:c>
      <x:c r="D10" s="101" t="str">
        <x:v>5%</x:v>
      </x:c>
      <x:c r="E10" s="29" t="str">
        <x:v>按售价比例扣除，例如 100 元商品 5% 扣点为 5 元</x:v>
      </x:c>
      <x:c r="F10" s="29" t="str">
        <x:v>明确各平台扣点规则；初期可选择扣点较低渠道</x:v>
      </x:c>
    </x:row>
    <x:row r="11" ht="36" customHeight="1">
      <x:c r="A11" s="30" t="str">
        <x:v>总成本</x:v>
      </x:c>
      <x:c r="B11" s="29" t="str">
        <x:v>固定成本合计</x:v>
      </x:c>
      <x:c r="C11" s="29" t="str">
        <x:v>-</x:v>
      </x:c>
      <x:c r="D11" s="101" t="n">
        <x:v>78</x:v>
      </x:c>
      <x:c r="E11" s="29" t="str">
        <x:v>主材 + 工具摊销 + 快递 + 包装 + 时间 + 其他，不含按售价扣的平台费</x:v>
      </x:c>
      <x:c r="F11" s="29" t="str">
        <x:v>固定成本越清楚，定价越稳定</x:v>
      </x:c>
    </x:row>
    <x:row r="12" ht="36" customHeight="1">
      <x:c r="A12" s="30" t="str">
        <x:v>定价</x:v>
      </x:c>
      <x:c r="B12" s="29" t="str">
        <x:v>建议售价</x:v>
      </x:c>
      <x:c r="C12" s="29" t="str">
        <x:v>-</x:v>
      </x:c>
      <x:c r="D12" s="101" t="n">
        <x:v>128</x:v>
      </x:c>
      <x:c r="E12" s="29" t="str">
        <x:v>固定成本 ÷ (1 - 平台扣点 - 目标净利润率)</x:v>
      </x:c>
      <x:c r="F12" s="29" t="str">
        <x:v>也可按目标利润额定价</x:v>
      </x:c>
    </x:row>
    <x:row r="13" ht="36" customHeight="1">
      <x:c r="A13" s="30" t="str">
        <x:v>销售利润</x:v>
      </x:c>
      <x:c r="B13" s="29" t="str">
        <x:v>净利润率</x:v>
      </x:c>
      <x:c r="C13" s="29" t="str">
        <x:v>-</x:v>
      </x:c>
      <x:c r="D13" s="101" t="str">
        <x:v>34%</x:v>
      </x:c>
      <x:c r="E13" s="29" t="str">
        <x:v>(售价 - 固定成本) ÷ 售价 - 平台扣点</x:v>
      </x:c>
      <x:c r="F13" s="29" t="str">
        <x:v>零售手作建议目标净利润率通常不低于 20%-40%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469999313354492" hidden="0" customWidth="1"/>
    <x:col min="2" max="2" width="21.469999313354492" hidden="0" customWidth="1"/>
    <x:col min="3" max="3" width="14.109999656677246" hidden="0" customWidth="1"/>
    <x:col min="4" max="4" width="10.430000305175781" hidden="0" customWidth="1"/>
    <x:col min="5" max="5" width="10.430000305175781" hidden="0" customWidth="1"/>
    <x:col min="6" max="6" width="10.430000305175781" hidden="0" customWidth="1"/>
    <x:col min="7" max="7" width="39.880001068115234" hidden="0" customWidth="1"/>
  </x:cols>
  <x:sheetData>
    <x:row r="1" ht="30" customHeight="1">
      <x:c r="A1" s="9" t="str">
        <x:v>后续后台管理字段设计</x:v>
      </x:c>
      <x:c r="B1" s="10" t="str">
        <x:v>后续后台管理字段设计</x:v>
      </x:c>
      <x:c r="C1" s="10" t="str">
        <x:v>后续后台管理字段设计</x:v>
      </x:c>
      <x:c r="D1" s="10" t="str">
        <x:v>后续后台管理字段设计</x:v>
      </x:c>
      <x:c r="E1" s="10" t="str">
        <x:v>后续后台管理字段设计</x:v>
      </x:c>
      <x:c r="F1" s="10" t="str">
        <x:v>后续后台管理字段设计</x:v>
      </x:c>
      <x:c r="G1" s="11" t="str">
        <x:v>后续后台管理字段设计</x:v>
      </x:c>
    </x:row>
    <x:row r="2" ht="24" customHeight="1">
      <x:c r="A2" s="23" t="str">
        <x:v>这页把表格里的输入、输出和公式拆成后台程序可落库/计算的字段。</x:v>
      </x:c>
      <x:c r="B2" s="24" t="str">
        <x:v>这页把表格里的输入、输出和公式拆成后台程序可落库/计算的字段。</x:v>
      </x:c>
      <x:c r="C2" s="24" t="str">
        <x:v>这页把表格里的输入、输出和公式拆成后台程序可落库/计算的字段。</x:v>
      </x:c>
      <x:c r="D2" s="24" t="str">
        <x:v>这页把表格里的输入、输出和公式拆成后台程序可落库/计算的字段。</x:v>
      </x:c>
      <x:c r="E2" s="24" t="str">
        <x:v>这页把表格里的输入、输出和公式拆成后台程序可落库/计算的字段。</x:v>
      </x:c>
      <x:c r="F2" s="24" t="str">
        <x:v>这页把表格里的输入、输出和公式拆成后台程序可落库/计算的字段。</x:v>
      </x:c>
      <x:c r="G2" s="25" t="str">
        <x:v>这页把表格里的输入、输出和公式拆成后台程序可落库/计算的字段。</x:v>
      </x:c>
    </x:row>
    <x:row r="4">
      <x:c r="A4" s="34" t="str">
        <x:v>模块</x:v>
      </x:c>
      <x:c r="B4" s="34" t="str">
        <x:v>字段名</x:v>
      </x:c>
      <x:c r="C4" s="34" t="str">
        <x:v>中文名</x:v>
      </x:c>
      <x:c r="D4" s="34" t="str">
        <x:v>类型</x:v>
      </x:c>
      <x:c r="E4" s="34" t="str">
        <x:v>是否必填</x:v>
      </x:c>
      <x:c r="F4" s="34" t="str">
        <x:v>前端控件</x:v>
      </x:c>
      <x:c r="G4" s="34" t="str">
        <x:v>说明</x:v>
      </x:c>
    </x:row>
    <x:row r="5" ht="21" customHeight="1">
      <x:c r="A5" s="30" t="str">
        <x:v>商品</x:v>
      </x:c>
      <x:c r="B5" s="29" t="str">
        <x:v>product_name</x:v>
      </x:c>
      <x:c r="C5" s="29" t="str">
        <x:v>产品/款式</x:v>
      </x:c>
      <x:c r="D5" s="29" t="str">
        <x:v>string</x:v>
      </x:c>
      <x:c r="E5" s="29" t="str">
        <x:v>是</x:v>
      </x:c>
      <x:c r="F5" s="29" t="str">
        <x:v>文本输入</x:v>
      </x:c>
      <x:c r="G5" s="29" t="str">
        <x:v>用于识别款式或 SKU</x:v>
      </x:c>
    </x:row>
    <x:row r="6" ht="21" customHeight="1">
      <x:c r="A6" s="30" t="str">
        <x:v>商品</x:v>
      </x:c>
      <x:c r="B6" s="29" t="str">
        <x:v>channel</x:v>
      </x:c>
      <x:c r="C6" s="29" t="str">
        <x:v>销售渠道</x:v>
      </x:c>
      <x:c r="D6" s="29" t="str">
        <x:v>enum</x:v>
      </x:c>
      <x:c r="E6" s="29" t="str">
        <x:v>是</x:v>
      </x:c>
      <x:c r="F6" s="29" t="str">
        <x:v>下拉选择</x:v>
      </x:c>
      <x:c r="G6" s="29" t="str">
        <x:v>小红书、抖音、微信/私域、线下摊位、其他</x:v>
      </x:c>
    </x:row>
    <x:row r="7" ht="21" customHeight="1">
      <x:c r="A7" s="30" t="str">
        <x:v>成本输入</x:v>
      </x:c>
      <x:c r="B7" s="29" t="str">
        <x:v>material_cost</x:v>
      </x:c>
      <x:c r="C7" s="29" t="str">
        <x:v>主材成本</x:v>
      </x:c>
      <x:c r="D7" s="29" t="str">
        <x:v>decimal</x:v>
      </x:c>
      <x:c r="E7" s="29" t="str">
        <x:v>是</x:v>
      </x:c>
      <x:c r="F7" s="29" t="str">
        <x:v>金额输入</x:v>
      </x:c>
      <x:c r="G7" s="29" t="str">
        <x:v>珠子、线材、配件等单件耗用成本</x:v>
      </x:c>
    </x:row>
    <x:row r="8" ht="21" customHeight="1">
      <x:c r="A8" s="30" t="str">
        <x:v>成本输入</x:v>
      </x:c>
      <x:c r="B8" s="29" t="str">
        <x:v>tool_cost_per_item</x:v>
      </x:c>
      <x:c r="C8" s="29" t="str">
        <x:v>工具摊销</x:v>
      </x:c>
      <x:c r="D8" s="29" t="str">
        <x:v>decimal</x:v>
      </x:c>
      <x:c r="E8" s="29" t="str">
        <x:v>是</x:v>
      </x:c>
      <x:c r="F8" s="29" t="str">
        <x:v>金额输入</x:v>
      </x:c>
      <x:c r="G8" s="29" t="str">
        <x:v>工具购置额按预计件数摊销</x:v>
      </x:c>
    </x:row>
    <x:row r="9" ht="21" customHeight="1">
      <x:c r="A9" s="30" t="str">
        <x:v>成本输入</x:v>
      </x:c>
      <x:c r="B9" s="29" t="str">
        <x:v>shipping_cost</x:v>
      </x:c>
      <x:c r="C9" s="29" t="str">
        <x:v>快递费</x:v>
      </x:c>
      <x:c r="D9" s="29" t="str">
        <x:v>decimal</x:v>
      </x:c>
      <x:c r="E9" s="29" t="str">
        <x:v>是</x:v>
      </x:c>
      <x:c r="F9" s="29" t="str">
        <x:v>金额输入</x:v>
      </x:c>
      <x:c r="G9" s="29" t="str">
        <x:v>单件承担的实际快递费</x:v>
      </x:c>
    </x:row>
    <x:row r="10" ht="21" customHeight="1">
      <x:c r="A10" s="30" t="str">
        <x:v>成本输入</x:v>
      </x:c>
      <x:c r="B10" s="29" t="str">
        <x:v>packaging_cost</x:v>
      </x:c>
      <x:c r="C10" s="29" t="str">
        <x:v>包装费</x:v>
      </x:c>
      <x:c r="D10" s="29" t="str">
        <x:v>decimal</x:v>
      </x:c>
      <x:c r="E10" s="29" t="str">
        <x:v>是</x:v>
      </x:c>
      <x:c r="F10" s="29" t="str">
        <x:v>金额输入</x:v>
      </x:c>
      <x:c r="G10" s="29" t="str">
        <x:v>包装材料、卡纸、防震袋等</x:v>
      </x:c>
    </x:row>
    <x:row r="11" ht="21" customHeight="1">
      <x:c r="A11" s="30" t="str">
        <x:v>成本输入</x:v>
      </x:c>
      <x:c r="B11" s="29" t="str">
        <x:v>labor_hours</x:v>
      </x:c>
      <x:c r="C11" s="29" t="str">
        <x:v>制作小时</x:v>
      </x:c>
      <x:c r="D11" s="29" t="str">
        <x:v>decimal</x:v>
      </x:c>
      <x:c r="E11" s="29" t="str">
        <x:v>是</x:v>
      </x:c>
      <x:c r="F11" s="29" t="str">
        <x:v>数字输入</x:v>
      </x:c>
      <x:c r="G11" s="29" t="str">
        <x:v>支持 0.5、0.75 等小数小时</x:v>
      </x:c>
    </x:row>
    <x:row r="12" ht="21" customHeight="1">
      <x:c r="A12" s="30" t="str">
        <x:v>成本输入</x:v>
      </x:c>
      <x:c r="B12" s="29" t="str">
        <x:v>hourly_rate</x:v>
      </x:c>
      <x:c r="C12" s="29" t="str">
        <x:v>目标时薪</x:v>
      </x:c>
      <x:c r="D12" s="29" t="str">
        <x:v>decimal</x:v>
      </x:c>
      <x:c r="E12" s="29" t="str">
        <x:v>是</x:v>
      </x:c>
      <x:c r="F12" s="29" t="str">
        <x:v>金额输入</x:v>
      </x:c>
      <x:c r="G12" s="29" t="str">
        <x:v>目标月收入 ÷ 每月工作时长</x:v>
      </x:c>
    </x:row>
    <x:row r="13" ht="21" customHeight="1">
      <x:c r="A13" s="30" t="str">
        <x:v>成本输入</x:v>
      </x:c>
      <x:c r="B13" s="29" t="str">
        <x:v>other_cost</x:v>
      </x:c>
      <x:c r="C13" s="29" t="str">
        <x:v>其他单件成本</x:v>
      </x:c>
      <x:c r="D13" s="29" t="str">
        <x:v>decimal</x:v>
      </x:c>
      <x:c r="E13" s="29" t="str">
        <x:v>否</x:v>
      </x:c>
      <x:c r="F13" s="29" t="str">
        <x:v>金额输入</x:v>
      </x:c>
      <x:c r="G13" s="29" t="str">
        <x:v>损耗、赠品、贴纸等</x:v>
      </x:c>
    </x:row>
    <x:row r="14" ht="21" customHeight="1">
      <x:c r="A14" s="30" t="str">
        <x:v>策略输入</x:v>
      </x:c>
      <x:c r="B14" s="29" t="str">
        <x:v>platform_fee_rate</x:v>
      </x:c>
      <x:c r="C14" s="29" t="str">
        <x:v>平台扣点</x:v>
      </x:c>
      <x:c r="D14" s="29" t="str">
        <x:v>percent</x:v>
      </x:c>
      <x:c r="E14" s="29" t="str">
        <x:v>是</x:v>
      </x:c>
      <x:c r="F14" s="29" t="str">
        <x:v>百分比输入</x:v>
      </x:c>
      <x:c r="G14" s="29" t="str">
        <x:v>按销售渠道默认带出，可手动覆盖</x:v>
      </x:c>
    </x:row>
    <x:row r="15" ht="21" customHeight="1">
      <x:c r="A15" s="30" t="str">
        <x:v>策略输入</x:v>
      </x:c>
      <x:c r="B15" s="29" t="str">
        <x:v>target_profit_margin</x:v>
      </x:c>
      <x:c r="C15" s="29" t="str">
        <x:v>目标净利润率</x:v>
      </x:c>
      <x:c r="D15" s="29" t="str">
        <x:v>percent</x:v>
      </x:c>
      <x:c r="E15" s="29" t="str">
        <x:v>否</x:v>
      </x:c>
      <x:c r="F15" s="29" t="str">
        <x:v>百分比输入</x:v>
      </x:c>
      <x:c r="G15" s="29" t="str">
        <x:v>利润率模式使用</x:v>
      </x:c>
    </x:row>
    <x:row r="16" ht="21" customHeight="1">
      <x:c r="A16" s="30" t="str">
        <x:v>策略输入</x:v>
      </x:c>
      <x:c r="B16" s="29" t="str">
        <x:v>target_profit_amount</x:v>
      </x:c>
      <x:c r="C16" s="29" t="str">
        <x:v>目标利润额</x:v>
      </x:c>
      <x:c r="D16" s="29" t="str">
        <x:v>decimal</x:v>
      </x:c>
      <x:c r="E16" s="29" t="str">
        <x:v>否</x:v>
      </x:c>
      <x:c r="F16" s="29" t="str">
        <x:v>金额输入</x:v>
      </x:c>
      <x:c r="G16" s="29" t="str">
        <x:v>填了金额时优先使用利润额模式</x:v>
      </x:c>
    </x:row>
    <x:row r="17" ht="21" customHeight="1">
      <x:c r="A17" s="30" t="str">
        <x:v>策略输入</x:v>
      </x:c>
      <x:c r="B17" s="29" t="str">
        <x:v>rounding_rule</x:v>
      </x:c>
      <x:c r="C17" s="29" t="str">
        <x:v>取整规则</x:v>
      </x:c>
      <x:c r="D17" s="29" t="str">
        <x:v>enum</x:v>
      </x:c>
      <x:c r="E17" s="29" t="str">
        <x:v>是</x:v>
      </x:c>
      <x:c r="F17" s="29" t="str">
        <x:v>下拉选择</x:v>
      </x:c>
      <x:c r="G17" s="29" t="str">
        <x:v>默认向上取整到整数元</x:v>
      </x:c>
    </x:row>
    <x:row r="18" ht="21" customHeight="1">
      <x:c r="A18" s="30" t="str">
        <x:v>计算输出</x:v>
      </x:c>
      <x:c r="B18" s="29" t="str">
        <x:v>labor_cost</x:v>
      </x:c>
      <x:c r="C18" s="29" t="str">
        <x:v>时间成本</x:v>
      </x:c>
      <x:c r="D18" s="29" t="str">
        <x:v>decimal</x:v>
      </x:c>
      <x:c r="E18" s="29" t="str">
        <x:v>自动</x:v>
      </x:c>
      <x:c r="F18" s="29" t="str">
        <x:v>只读</x:v>
      </x:c>
      <x:c r="G18" s="29" t="str">
        <x:v>labor_hours × hourly_rate</x:v>
      </x:c>
    </x:row>
    <x:row r="19" ht="21" customHeight="1">
      <x:c r="A19" s="30" t="str">
        <x:v>计算输出</x:v>
      </x:c>
      <x:c r="B19" s="29" t="str">
        <x:v>fixed_cost</x:v>
      </x:c>
      <x:c r="C19" s="29" t="str">
        <x:v>固定成本</x:v>
      </x:c>
      <x:c r="D19" s="29" t="str">
        <x:v>decimal</x:v>
      </x:c>
      <x:c r="E19" s="29" t="str">
        <x:v>自动</x:v>
      </x:c>
      <x:c r="F19" s="29" t="str">
        <x:v>只读</x:v>
      </x:c>
      <x:c r="G19" s="29" t="str">
        <x:v>不含平台扣点的单件成本</x:v>
      </x:c>
    </x:row>
    <x:row r="20" ht="21" customHeight="1">
      <x:c r="A20" s="30" t="str">
        <x:v>计算输出</x:v>
      </x:c>
      <x:c r="B20" s="29" t="str">
        <x:v>break_even_price</x:v>
      </x:c>
      <x:c r="C20" s="29" t="str">
        <x:v>保本售价</x:v>
      </x:c>
      <x:c r="D20" s="29" t="str">
        <x:v>decimal</x:v>
      </x:c>
      <x:c r="E20" s="29" t="str">
        <x:v>自动</x:v>
      </x:c>
      <x:c r="F20" s="29" t="str">
        <x:v>只读</x:v>
      </x:c>
      <x:c r="G20" s="29" t="str">
        <x:v>fixed_cost ÷ (1 - platform_fee_rate)</x:v>
      </x:c>
    </x:row>
    <x:row r="21" ht="21" customHeight="1">
      <x:c r="A21" s="30" t="str">
        <x:v>计算输出</x:v>
      </x:c>
      <x:c r="B21" s="29" t="str">
        <x:v>raw_suggested_price</x:v>
      </x:c>
      <x:c r="C21" s="29" t="str">
        <x:v>原始建议价</x:v>
      </x:c>
      <x:c r="D21" s="29" t="str">
        <x:v>decimal</x:v>
      </x:c>
      <x:c r="E21" s="29" t="str">
        <x:v>自动</x:v>
      </x:c>
      <x:c r="F21" s="29" t="str">
        <x:v>只读</x:v>
      </x:c>
      <x:c r="G21" s="29" t="str">
        <x:v>未取整的理论售价</x:v>
      </x:c>
    </x:row>
    <x:row r="22" ht="21" customHeight="1">
      <x:c r="A22" s="30" t="str">
        <x:v>计算输出</x:v>
      </x:c>
      <x:c r="B22" s="29" t="str">
        <x:v>suggested_price</x:v>
      </x:c>
      <x:c r="C22" s="29" t="str">
        <x:v>建议售价</x:v>
      </x:c>
      <x:c r="D22" s="29" t="str">
        <x:v>decimal</x:v>
      </x:c>
      <x:c r="E22" s="29" t="str">
        <x:v>自动</x:v>
      </x:c>
      <x:c r="F22" s="29" t="str">
        <x:v>只读</x:v>
      </x:c>
      <x:c r="G22" s="29" t="str">
        <x:v>按取整规则处理后的售价</x:v>
      </x:c>
    </x:row>
    <x:row r="23" ht="21" customHeight="1">
      <x:c r="A23" s="30" t="str">
        <x:v>计算输出</x:v>
      </x:c>
      <x:c r="B23" s="29" t="str">
        <x:v>platform_fee_amount</x:v>
      </x:c>
      <x:c r="C23" s="29" t="str">
        <x:v>平台扣点金额</x:v>
      </x:c>
      <x:c r="D23" s="29" t="str">
        <x:v>decimal</x:v>
      </x:c>
      <x:c r="E23" s="29" t="str">
        <x:v>自动</x:v>
      </x:c>
      <x:c r="F23" s="29" t="str">
        <x:v>只读</x:v>
      </x:c>
      <x:c r="G23" s="29" t="str">
        <x:v>suggested_price × platform_fee_rate</x:v>
      </x:c>
    </x:row>
    <x:row r="24" ht="21" customHeight="1">
      <x:c r="A24" s="30" t="str">
        <x:v>计算输出</x:v>
      </x:c>
      <x:c r="B24" s="29" t="str">
        <x:v>net_profit_amount</x:v>
      </x:c>
      <x:c r="C24" s="29" t="str">
        <x:v>净利润</x:v>
      </x:c>
      <x:c r="D24" s="29" t="str">
        <x:v>decimal</x:v>
      </x:c>
      <x:c r="E24" s="29" t="str">
        <x:v>自动</x:v>
      </x:c>
      <x:c r="F24" s="29" t="str">
        <x:v>只读</x:v>
      </x:c>
      <x:c r="G24" s="29" t="str">
        <x:v>suggested_price - fixed_cost - platform_fee_amount</x:v>
      </x:c>
    </x:row>
    <x:row r="25" ht="21" customHeight="1">
      <x:c r="A25" s="30" t="str">
        <x:v>计算输出</x:v>
      </x:c>
      <x:c r="B25" s="29" t="str">
        <x:v>net_profit_margin</x:v>
      </x:c>
      <x:c r="C25" s="29" t="str">
        <x:v>净利润率</x:v>
      </x:c>
      <x:c r="D25" s="29" t="str">
        <x:v>percent</x:v>
      </x:c>
      <x:c r="E25" s="29" t="str">
        <x:v>自动</x:v>
      </x:c>
      <x:c r="F25" s="29" t="str">
        <x:v>只读</x:v>
      </x:c>
      <x:c r="G25" s="29" t="str">
        <x:v>net_profit_amount ÷ suggested_price</x:v>
      </x:c>
    </x:row>
    <x:row r="26" ht="21" customHeight="1">
      <x:c r="A26" s="30" t="str">
        <x:v>计算输出</x:v>
      </x:c>
      <x:c r="B26" s="29" t="str">
        <x:v>material_cost_share</x:v>
      </x:c>
      <x:c r="C26" s="29" t="str">
        <x:v>主材占比</x:v>
      </x:c>
      <x:c r="D26" s="29" t="str">
        <x:v>percent</x:v>
      </x:c>
      <x:c r="E26" s="29" t="str">
        <x:v>自动</x:v>
      </x:c>
      <x:c r="F26" s="29" t="str">
        <x:v>只读</x:v>
      </x:c>
      <x:c r="G26" s="29" t="str">
        <x:v>material_cost ÷ fixed_cost</x:v>
      </x:c>
    </x:row>
    <x:row r="27" ht="21" customHeight="1">
      <x:c r="A27" s="30" t="str">
        <x:v>计算输出</x:v>
      </x:c>
      <x:c r="B27" s="29" t="str">
        <x:v>pricing_status</x:v>
      </x:c>
      <x:c r="C27" s="29" t="str">
        <x:v>定价状态</x:v>
      </x:c>
      <x:c r="D27" s="29" t="str">
        <x:v>enum</x:v>
      </x:c>
      <x:c r="E27" s="29" t="str">
        <x:v>自动</x:v>
      </x:c>
      <x:c r="F27" s="29" t="str">
        <x:v>标签</x:v>
      </x:c>
      <x:c r="G27" s="29" t="str">
        <x:v>达标、利润不足、检查扣点/利润率</x:v>
      </x:c>
    </x:row>
    <x:row r="30">
      <x:c r="A30" s="75" t="str">
        <x:v>后台核心公式</x:v>
      </x:c>
      <x:c r="B30" s="76" t="str"/>
      <x:c r="C30" s="76" t="str"/>
      <x:c r="D30" s="76" t="str"/>
      <x:c r="E30" s="76" t="str"/>
      <x:c r="F30" s="76" t="str"/>
      <x:c r="G30" s="77" t="str"/>
    </x:row>
    <x:row r="31" ht="28.5" customHeight="1">
      <x:c r="A31" s="30" t="str">
        <x:v>fixedCost</x:v>
      </x:c>
      <x:c r="B31" s="29" t="str">
        <x:v>materialCost + toolCostPerItem + shippingCost + packagingCost + laborHours * hourlyRate + otherCost</x:v>
      </x:c>
      <x:c r="C31" s="29" t="str"/>
      <x:c r="D31" s="29" t="str"/>
      <x:c r="E31" s="29" t="str"/>
      <x:c r="F31" s="29" t="str"/>
      <x:c r="G31" s="29" t="str"/>
    </x:row>
    <x:row r="32" ht="28.5" customHeight="1">
      <x:c r="A32" s="30" t="str">
        <x:v>breakEvenPrice</x:v>
      </x:c>
      <x:c r="B32" s="29" t="str">
        <x:v>fixedCost / (1 - platformFeeRate)</x:v>
      </x:c>
      <x:c r="C32" s="29" t="str"/>
      <x:c r="D32" s="29" t="str"/>
      <x:c r="E32" s="29" t="str"/>
      <x:c r="F32" s="29" t="str"/>
      <x:c r="G32" s="29" t="str"/>
    </x:row>
    <x:row r="33" ht="28.5" customHeight="1">
      <x:c r="A33" s="30" t="str">
        <x:v>利润率模式</x:v>
      </x:c>
      <x:c r="B33" s="29" t="str">
        <x:v>rawPrice = fixedCost / (1 - platformFeeRate - targetProfitMargin)</x:v>
      </x:c>
      <x:c r="C33" s="29" t="str"/>
      <x:c r="D33" s="29" t="str"/>
      <x:c r="E33" s="29" t="str"/>
      <x:c r="F33" s="29" t="str"/>
      <x:c r="G33" s="29" t="str"/>
    </x:row>
    <x:row r="34" ht="28.5" customHeight="1">
      <x:c r="A34" s="30" t="str">
        <x:v>利润额模式</x:v>
      </x:c>
      <x:c r="B34" s="29" t="str">
        <x:v>rawPrice = (fixedCost + targetProfitAmount) / (1 - platformFeeRate)</x:v>
      </x:c>
      <x:c r="C34" s="29" t="str"/>
      <x:c r="D34" s="29" t="str"/>
      <x:c r="E34" s="29" t="str"/>
      <x:c r="F34" s="29" t="str"/>
      <x:c r="G34" s="29" t="str"/>
    </x:row>
    <x:row r="35" ht="28.5" customHeight="1">
      <x:c r="A35" s="30" t="str">
        <x:v>suggestedPrice</x:v>
      </x:c>
      <x:c r="B35" s="29" t="str">
        <x:v>ceil(rawPrice)</x:v>
      </x:c>
      <x:c r="C35" s="29" t="str"/>
      <x:c r="D35" s="29" t="str"/>
      <x:c r="E35" s="29" t="str"/>
      <x:c r="F35" s="29" t="str"/>
      <x:c r="G35" s="29" t="str"/>
    </x:row>
    <x:row r="36" ht="28.5" customHeight="1">
      <x:c r="A36" s="30" t="str">
        <x:v>netProfitMargin</x:v>
      </x:c>
      <x:c r="B36" s="29" t="str">
        <x:v>(suggestedPrice - fixedCost - suggestedPrice * platformFeeRate) / suggestedPrice</x:v>
      </x:c>
      <x:c r="C36" s="29" t="str"/>
      <x:c r="D36" s="29" t="str"/>
      <x:c r="E36" s="29" t="str"/>
      <x:c r="F36" s="29" t="str"/>
      <x:c r="G36" s="29" t="str"/>
    </x:row>
  </x:sheetData>
  <x:mergeCells>
    <x:mergeCell ref="A1:G1"/>
    <x:mergeCell ref="A2:G2"/>
    <x:mergeCell ref="A30:G30"/>
    <x:mergeCell ref="B31:G31"/>
    <x:mergeCell ref="B32:G32"/>
    <x:mergeCell ref="B33:G33"/>
    <x:mergeCell ref="B34:G34"/>
    <x:mergeCell ref="B35:G35"/>
    <x:mergeCell ref="B36:G36"/>
  </x:mergeCells>
  <x:pageMargins left="0.7" right="0.7" top="0.75" bottom="0.75" header="0.3" footer="0.3"/>
</x:worksheet>
</file>